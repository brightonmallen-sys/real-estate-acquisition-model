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ghtonallen/Documents/Sp:Su26/Finance Projects/Real Estate Acquisition Model/"/>
    </mc:Choice>
  </mc:AlternateContent>
  <xr:revisionPtr revIDLastSave="0" documentId="8_{64974DA4-0DD8-2946-B028-5F072FEBB370}" xr6:coauthVersionLast="47" xr6:coauthVersionMax="47" xr10:uidLastSave="{00000000-0000-0000-0000-000000000000}"/>
  <bookViews>
    <workbookView xWindow="160" yWindow="920" windowWidth="29080" windowHeight="16820" activeTab="5" xr2:uid="{A51A2E3A-5E52-7B43-9BEA-5C287CCFCE9D}"/>
  </bookViews>
  <sheets>
    <sheet name="Dashboard" sheetId="4" r:id="rId1"/>
    <sheet name="Assumptions" sheetId="1" r:id="rId2"/>
    <sheet name="Revenue" sheetId="2" r:id="rId3"/>
    <sheet name="Expenses" sheetId="3" r:id="rId4"/>
    <sheet name="NOI" sheetId="5" r:id="rId5"/>
    <sheet name="Debt" sheetId="6" r:id="rId6"/>
    <sheet name="Cash Flow" sheetId="7" r:id="rId7"/>
    <sheet name="Returns" sheetId="8" r:id="rId8"/>
    <sheet name="Sensitivity Analysis" sheetId="9" r:id="rId9"/>
    <sheet name="Sources" sheetId="10" r:id="rId10"/>
    <sheet name="Notes" sheetId="11" r:id="rId1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6" l="1"/>
  <c r="F11" i="6"/>
  <c r="E13" i="6"/>
  <c r="E11" i="6"/>
  <c r="D13" i="6"/>
  <c r="D11" i="6"/>
  <c r="C15" i="6"/>
  <c r="D14" i="6"/>
  <c r="D15" i="6"/>
  <c r="E14" i="6"/>
  <c r="E15" i="6"/>
  <c r="F14" i="6"/>
  <c r="F15" i="6"/>
  <c r="C14" i="6"/>
  <c r="C13" i="6"/>
  <c r="F12" i="6"/>
  <c r="E12" i="6"/>
  <c r="D12" i="6"/>
  <c r="C12" i="6"/>
  <c r="C11" i="6"/>
  <c r="B15" i="6"/>
  <c r="B14" i="6"/>
  <c r="B13" i="6"/>
  <c r="B12" i="6"/>
  <c r="B11" i="6"/>
  <c r="B4" i="6"/>
  <c r="B8" i="6"/>
  <c r="B5" i="6"/>
  <c r="B7" i="6"/>
  <c r="B6" i="6"/>
  <c r="B3" i="6"/>
  <c r="B2" i="6"/>
  <c r="C4" i="5"/>
  <c r="D4" i="5"/>
  <c r="E4" i="5"/>
  <c r="F4" i="5"/>
  <c r="B4" i="5"/>
  <c r="F3" i="5"/>
  <c r="E3" i="5"/>
  <c r="D3" i="5"/>
  <c r="C3" i="5"/>
  <c r="B3" i="5"/>
  <c r="F2" i="5"/>
  <c r="E2" i="5"/>
  <c r="D2" i="5"/>
  <c r="C2" i="5"/>
  <c r="B2" i="5"/>
  <c r="F8" i="3"/>
  <c r="E8" i="3"/>
  <c r="D8" i="3"/>
  <c r="C8" i="3"/>
  <c r="B8" i="3"/>
  <c r="B3" i="3"/>
  <c r="C3" i="3"/>
  <c r="B4" i="3"/>
  <c r="C4" i="3"/>
  <c r="B5" i="3"/>
  <c r="C5" i="3"/>
  <c r="B2" i="2"/>
  <c r="C2" i="2"/>
  <c r="B3" i="2"/>
  <c r="C3" i="2"/>
  <c r="C4" i="2"/>
  <c r="C6" i="2"/>
  <c r="C7" i="2"/>
  <c r="C6" i="3"/>
  <c r="B7" i="3"/>
  <c r="C7" i="3"/>
  <c r="B9" i="3"/>
  <c r="C9" i="3"/>
  <c r="C10" i="3"/>
  <c r="D3" i="3"/>
  <c r="D4" i="3"/>
  <c r="D5" i="3"/>
  <c r="D2" i="2"/>
  <c r="D3" i="2"/>
  <c r="D4" i="2"/>
  <c r="D6" i="2"/>
  <c r="D7" i="2"/>
  <c r="D6" i="3"/>
  <c r="D7" i="3"/>
  <c r="D9" i="3"/>
  <c r="D10" i="3"/>
  <c r="E3" i="3"/>
  <c r="E4" i="3"/>
  <c r="E5" i="3"/>
  <c r="E2" i="2"/>
  <c r="E3" i="2"/>
  <c r="E4" i="2"/>
  <c r="E6" i="2"/>
  <c r="E7" i="2"/>
  <c r="E6" i="3"/>
  <c r="E7" i="3"/>
  <c r="E9" i="3"/>
  <c r="E10" i="3"/>
  <c r="F3" i="3"/>
  <c r="F4" i="3"/>
  <c r="F5" i="3"/>
  <c r="F2" i="2"/>
  <c r="F3" i="2"/>
  <c r="F4" i="2"/>
  <c r="F6" i="2"/>
  <c r="F7" i="2"/>
  <c r="F6" i="3"/>
  <c r="F7" i="3"/>
  <c r="F9" i="3"/>
  <c r="F10" i="3"/>
  <c r="B4" i="2"/>
  <c r="B6" i="2"/>
  <c r="B7" i="2"/>
  <c r="B6" i="3"/>
  <c r="B10" i="3"/>
</calcChain>
</file>

<file path=xl/sharedStrings.xml><?xml version="1.0" encoding="utf-8"?>
<sst xmlns="http://schemas.openxmlformats.org/spreadsheetml/2006/main" count="74" uniqueCount="49">
  <si>
    <t>Property Information</t>
  </si>
  <si>
    <t>Purchase Price</t>
  </si>
  <si>
    <t>Units</t>
  </si>
  <si>
    <t>Average Monthly Rent</t>
  </si>
  <si>
    <t>Other Monthly Income per Unit</t>
  </si>
  <si>
    <t>Vacancy Rate</t>
  </si>
  <si>
    <t>Annual Rent Growth</t>
  </si>
  <si>
    <t>Other Income Growth</t>
  </si>
  <si>
    <t>Operating Expenses</t>
  </si>
  <si>
    <t>Property Taxes</t>
  </si>
  <si>
    <t>Insurance</t>
  </si>
  <si>
    <t>Repairs and Maintenance</t>
  </si>
  <si>
    <t>Property Management</t>
  </si>
  <si>
    <t>Utilities</t>
  </si>
  <si>
    <t>Other Expenses</t>
  </si>
  <si>
    <t>Financing</t>
  </si>
  <si>
    <t>Loan-to-Value</t>
  </si>
  <si>
    <t>Interest Rate</t>
  </si>
  <si>
    <t>Loan Term</t>
  </si>
  <si>
    <t>Gross Rental Income</t>
  </si>
  <si>
    <t>Other Income</t>
  </si>
  <si>
    <t>Effective Gross Income</t>
  </si>
  <si>
    <t>Year 1</t>
  </si>
  <si>
    <t>Year 2</t>
  </si>
  <si>
    <t>Year 3</t>
  </si>
  <si>
    <t>Year 4</t>
  </si>
  <si>
    <t>Year 5</t>
  </si>
  <si>
    <t>Gross Potential Income</t>
  </si>
  <si>
    <t>Loan Term (Years)</t>
  </si>
  <si>
    <t>Holding Period (Years)</t>
  </si>
  <si>
    <t>Property Management (% of Revenue)</t>
  </si>
  <si>
    <t>Why do we subtract vacancy?</t>
  </si>
  <si>
    <t>Why is revenue projected instead of kept constant?</t>
  </si>
  <si>
    <t>Which assumption do I think has the biggest impact on revenue?</t>
  </si>
  <si>
    <t>Vacancy Loss</t>
  </si>
  <si>
    <t>Expense</t>
  </si>
  <si>
    <t>Repairs &amp; Maintenance</t>
  </si>
  <si>
    <t>Administrative</t>
  </si>
  <si>
    <t>Total Operating Expenses</t>
  </si>
  <si>
    <t>Operating Expense Growth</t>
  </si>
  <si>
    <t>Net Operating Income (NOI)</t>
  </si>
  <si>
    <t>Loan Amount</t>
  </si>
  <si>
    <t>Equity Investment</t>
  </si>
  <si>
    <t>Annual Payment</t>
  </si>
  <si>
    <t>Beginning Balance</t>
  </si>
  <si>
    <t>Payment</t>
  </si>
  <si>
    <t>Interest</t>
  </si>
  <si>
    <t>Principal</t>
  </si>
  <si>
    <t>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</si>
</sst>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2" borderId="0" xfId="1" applyFont="1" applyFill="1"/>
    <xf numFmtId="0" fontId="0" fillId="2" borderId="0" xfId="0" applyFill="1"/>
    <xf numFmtId="9" fontId="0" fillId="2" borderId="0" xfId="2" applyFont="1" applyFill="1"/>
    <xf numFmtId="10" fontId="0" fillId="2" borderId="0" xfId="2" applyNumberFormat="1" applyFont="1" applyFill="1"/>
    <xf numFmtId="0" fontId="0" fillId="3" borderId="0" xfId="0" applyFill="1"/>
    <xf numFmtId="0" fontId="3" fillId="4" borderId="0" xfId="0" applyFont="1" applyFill="1"/>
    <xf numFmtId="0" fontId="5" fillId="0" borderId="0" xfId="0" applyFont="1"/>
    <xf numFmtId="0" fontId="0" fillId="0" borderId="1" xfId="0" applyBorder="1"/>
    <xf numFmtId="164" fontId="0" fillId="2" borderId="0" xfId="2" applyNumberFormat="1" applyFont="1" applyFill="1"/>
    <xf numFmtId="0" fontId="0" fillId="0" borderId="2" xfId="0" applyBorder="1"/>
    <xf numFmtId="44" fontId="0" fillId="2" borderId="0" xfId="0" applyNumberFormat="1" applyFill="1"/>
    <xf numFmtId="44" fontId="0" fillId="2" borderId="0" xfId="0" applyNumberFormat="1" applyFont="1" applyFill="1"/>
    <xf numFmtId="44" fontId="0" fillId="2" borderId="2" xfId="0" applyNumberFormat="1" applyFill="1" applyBorder="1"/>
    <xf numFmtId="44" fontId="5" fillId="0" borderId="0" xfId="0" applyNumberFormat="1" applyFont="1"/>
    <xf numFmtId="0" fontId="2" fillId="0" borderId="2" xfId="0" applyFont="1" applyBorder="1"/>
    <xf numFmtId="44" fontId="2" fillId="0" borderId="2" xfId="1" applyFont="1" applyBorder="1"/>
    <xf numFmtId="0" fontId="5" fillId="3" borderId="0" xfId="0" applyFont="1" applyFill="1"/>
    <xf numFmtId="9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3846-8F6D-A64F-8696-DE974200AFD4}">
  <dimension ref="A1"/>
  <sheetViews>
    <sheetView workbookViewId="0">
      <selection activeCell="I36" sqref="I36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053B-64B5-CE40-AA60-193E6CD639C1}">
  <dimension ref="A2:B25"/>
  <sheetViews>
    <sheetView topLeftCell="A2" zoomScale="178" workbookViewId="0">
      <selection activeCell="B19" sqref="B19"/>
    </sheetView>
  </sheetViews>
  <sheetFormatPr baseColWidth="10" defaultRowHeight="16" x14ac:dyDescent="0.2"/>
  <cols>
    <col min="1" max="1" width="31.83203125" bestFit="1" customWidth="1"/>
    <col min="2" max="2" width="15" bestFit="1" customWidth="1"/>
  </cols>
  <sheetData>
    <row r="2" spans="1:2" x14ac:dyDescent="0.2">
      <c r="A2" s="7" t="s">
        <v>0</v>
      </c>
    </row>
    <row r="3" spans="1:2" x14ac:dyDescent="0.2">
      <c r="A3" s="8" t="s">
        <v>1</v>
      </c>
      <c r="B3" s="3">
        <v>12000000</v>
      </c>
    </row>
    <row r="4" spans="1:2" x14ac:dyDescent="0.2">
      <c r="A4" s="8" t="s">
        <v>2</v>
      </c>
      <c r="B4" s="4">
        <v>100</v>
      </c>
    </row>
    <row r="5" spans="1:2" x14ac:dyDescent="0.2">
      <c r="A5" s="8" t="s">
        <v>3</v>
      </c>
      <c r="B5" s="3">
        <v>1500</v>
      </c>
    </row>
    <row r="6" spans="1:2" x14ac:dyDescent="0.2">
      <c r="A6" s="8" t="s">
        <v>4</v>
      </c>
      <c r="B6" s="3">
        <v>50</v>
      </c>
    </row>
    <row r="7" spans="1:2" x14ac:dyDescent="0.2">
      <c r="A7" s="8" t="s">
        <v>5</v>
      </c>
      <c r="B7" s="5">
        <v>0.05</v>
      </c>
    </row>
    <row r="8" spans="1:2" x14ac:dyDescent="0.2">
      <c r="A8" s="8" t="s">
        <v>6</v>
      </c>
      <c r="B8" s="5">
        <v>0.03</v>
      </c>
    </row>
    <row r="9" spans="1:2" x14ac:dyDescent="0.2">
      <c r="A9" s="8" t="s">
        <v>7</v>
      </c>
      <c r="B9" s="5">
        <v>0.02</v>
      </c>
    </row>
    <row r="11" spans="1:2" x14ac:dyDescent="0.2">
      <c r="A11" s="7" t="s">
        <v>8</v>
      </c>
    </row>
    <row r="12" spans="1:2" x14ac:dyDescent="0.2">
      <c r="A12" s="8" t="s">
        <v>9</v>
      </c>
      <c r="B12" s="3">
        <v>180000</v>
      </c>
    </row>
    <row r="13" spans="1:2" x14ac:dyDescent="0.2">
      <c r="A13" s="8" t="s">
        <v>10</v>
      </c>
      <c r="B13" s="3">
        <v>60000</v>
      </c>
    </row>
    <row r="14" spans="1:2" x14ac:dyDescent="0.2">
      <c r="A14" s="8" t="s">
        <v>11</v>
      </c>
      <c r="B14" s="3">
        <v>120000</v>
      </c>
    </row>
    <row r="15" spans="1:2" x14ac:dyDescent="0.2">
      <c r="A15" s="8" t="s">
        <v>30</v>
      </c>
      <c r="B15" s="5">
        <v>0.04</v>
      </c>
    </row>
    <row r="16" spans="1:2" x14ac:dyDescent="0.2">
      <c r="A16" s="8" t="s">
        <v>13</v>
      </c>
      <c r="B16" s="3">
        <v>90000</v>
      </c>
    </row>
    <row r="17" spans="1:2" x14ac:dyDescent="0.2">
      <c r="A17" s="8" t="s">
        <v>14</v>
      </c>
      <c r="B17" s="3">
        <v>50000</v>
      </c>
    </row>
    <row r="18" spans="1:2" x14ac:dyDescent="0.2">
      <c r="A18" s="8" t="s">
        <v>39</v>
      </c>
      <c r="B18" s="11">
        <v>2.5000000000000001E-2</v>
      </c>
    </row>
    <row r="19" spans="1:2" x14ac:dyDescent="0.2">
      <c r="A19" s="8" t="s">
        <v>37</v>
      </c>
      <c r="B19" s="3">
        <v>20000</v>
      </c>
    </row>
    <row r="21" spans="1:2" x14ac:dyDescent="0.2">
      <c r="A21" s="7" t="s">
        <v>15</v>
      </c>
    </row>
    <row r="22" spans="1:2" x14ac:dyDescent="0.2">
      <c r="A22" s="8" t="s">
        <v>16</v>
      </c>
      <c r="B22" s="5">
        <v>0.7</v>
      </c>
    </row>
    <row r="23" spans="1:2" x14ac:dyDescent="0.2">
      <c r="A23" s="8" t="s">
        <v>17</v>
      </c>
      <c r="B23" s="6">
        <v>6.25E-2</v>
      </c>
    </row>
    <row r="24" spans="1:2" x14ac:dyDescent="0.2">
      <c r="A24" s="8" t="s">
        <v>28</v>
      </c>
      <c r="B24" s="4">
        <v>30</v>
      </c>
    </row>
    <row r="25" spans="1:2" x14ac:dyDescent="0.2">
      <c r="A25" s="8" t="s">
        <v>29</v>
      </c>
      <c r="B25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F357-9EDC-CB4A-88B2-C43FF132496F}">
  <dimension ref="A1:F7"/>
  <sheetViews>
    <sheetView zoomScale="220" workbookViewId="0">
      <selection activeCell="B8" sqref="B8"/>
    </sheetView>
  </sheetViews>
  <sheetFormatPr baseColWidth="10" defaultRowHeight="16" x14ac:dyDescent="0.2"/>
  <cols>
    <col min="1" max="1" width="19.6640625" bestFit="1" customWidth="1"/>
    <col min="2" max="2" width="18" bestFit="1" customWidth="1"/>
    <col min="3" max="3" width="14.5" bestFit="1" customWidth="1"/>
    <col min="4" max="4" width="19.6640625" bestFit="1" customWidth="1"/>
    <col min="5" max="6" width="14.5" bestFit="1" customWidth="1"/>
  </cols>
  <sheetData>
    <row r="1" spans="1:6" x14ac:dyDescent="0.2"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</row>
    <row r="2" spans="1:6" x14ac:dyDescent="0.2">
      <c r="A2" t="s">
        <v>19</v>
      </c>
      <c r="B2" s="13">
        <f>Assumptions!B4*Assumptions!B5*12</f>
        <v>1800000</v>
      </c>
      <c r="C2" s="13">
        <f>B2*(1+Assumptions!B8)</f>
        <v>1854000</v>
      </c>
      <c r="D2" s="13">
        <f>C2*(1+Assumptions!B8)</f>
        <v>1909620</v>
      </c>
      <c r="E2" s="13">
        <f>D2*(1+Assumptions!B8)</f>
        <v>1966908.6</v>
      </c>
      <c r="F2" s="13">
        <f>E2*(1+Assumptions!B8)</f>
        <v>2025915.8580000002</v>
      </c>
    </row>
    <row r="3" spans="1:6" ht="17" thickBot="1" x14ac:dyDescent="0.25">
      <c r="A3" s="10" t="s">
        <v>20</v>
      </c>
      <c r="B3" s="14">
        <f>Assumptions!B4*Assumptions!B6*12</f>
        <v>60000</v>
      </c>
      <c r="C3" s="13">
        <f>B3*(1+Assumptions!B9)</f>
        <v>61200</v>
      </c>
      <c r="D3" s="13">
        <f>C3*(1+Assumptions!B9)</f>
        <v>62424</v>
      </c>
      <c r="E3" s="13">
        <f>D3*(1+Assumptions!B9)</f>
        <v>63672.480000000003</v>
      </c>
      <c r="F3" s="13">
        <f>E3*(1+Assumptions!B9)</f>
        <v>64945.929600000003</v>
      </c>
    </row>
    <row r="4" spans="1:6" ht="17" thickTop="1" x14ac:dyDescent="0.2">
      <c r="A4" s="9" t="s">
        <v>27</v>
      </c>
      <c r="B4" s="13">
        <f>B2+B3</f>
        <v>1860000</v>
      </c>
      <c r="C4" s="13">
        <f t="shared" ref="C4:F4" si="0">C2+C3</f>
        <v>1915200</v>
      </c>
      <c r="D4" s="13">
        <f t="shared" si="0"/>
        <v>1972044</v>
      </c>
      <c r="E4" s="13">
        <f t="shared" si="0"/>
        <v>2030581.08</v>
      </c>
      <c r="F4" s="13">
        <f t="shared" si="0"/>
        <v>2090861.7876000002</v>
      </c>
    </row>
    <row r="5" spans="1:6" x14ac:dyDescent="0.2">
      <c r="B5" s="4"/>
      <c r="C5" s="4"/>
      <c r="D5" s="4"/>
      <c r="E5" s="4"/>
      <c r="F5" s="4"/>
    </row>
    <row r="6" spans="1:6" ht="17" thickBot="1" x14ac:dyDescent="0.25">
      <c r="A6" s="10" t="s">
        <v>34</v>
      </c>
      <c r="B6" s="13">
        <f>B4*Assumptions!B7</f>
        <v>93000</v>
      </c>
      <c r="C6" s="13">
        <f>C4*Assumptions!B7</f>
        <v>95760</v>
      </c>
      <c r="D6" s="13">
        <f>D4*Assumptions!B7</f>
        <v>98602.200000000012</v>
      </c>
      <c r="E6" s="13">
        <f>E4*Assumptions!B7</f>
        <v>101529.054</v>
      </c>
      <c r="F6" s="13">
        <f>F4*Assumptions!B7</f>
        <v>104543.08938000002</v>
      </c>
    </row>
    <row r="7" spans="1:6" ht="17" thickTop="1" x14ac:dyDescent="0.2">
      <c r="A7" s="9" t="s">
        <v>21</v>
      </c>
      <c r="B7" s="13">
        <f>B4-B6</f>
        <v>1767000</v>
      </c>
      <c r="C7" s="13">
        <f t="shared" ref="C7:F7" si="1">C4-C6</f>
        <v>1819440</v>
      </c>
      <c r="D7" s="13">
        <f t="shared" si="1"/>
        <v>1873441.8</v>
      </c>
      <c r="E7" s="13">
        <f t="shared" si="1"/>
        <v>1929052.0260000001</v>
      </c>
      <c r="F7" s="13">
        <f t="shared" si="1"/>
        <v>1986318.6982200001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32EC-A291-F346-872C-061BC38C3EF0}">
  <dimension ref="A2:G10"/>
  <sheetViews>
    <sheetView zoomScale="210" zoomScaleNormal="210" workbookViewId="0"/>
  </sheetViews>
  <sheetFormatPr baseColWidth="10" defaultRowHeight="16" x14ac:dyDescent="0.2"/>
  <cols>
    <col min="1" max="1" width="22.5" bestFit="1" customWidth="1"/>
    <col min="2" max="7" width="12.83203125" bestFit="1" customWidth="1"/>
  </cols>
  <sheetData>
    <row r="2" spans="1:7" x14ac:dyDescent="0.2">
      <c r="A2" s="7" t="s">
        <v>35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</row>
    <row r="3" spans="1:7" x14ac:dyDescent="0.2">
      <c r="A3" t="s">
        <v>9</v>
      </c>
      <c r="B3" s="13">
        <f>Assumptions!B12</f>
        <v>180000</v>
      </c>
      <c r="C3" s="13">
        <f>Expenses!B3*(1+Assumptions!B18)</f>
        <v>184499.99999999997</v>
      </c>
      <c r="D3" s="13">
        <f>C3*(1+Assumptions!B18)</f>
        <v>189112.49999999994</v>
      </c>
      <c r="E3" s="13">
        <f>D3*(1+Assumptions!B18)</f>
        <v>193840.31249999991</v>
      </c>
      <c r="F3" s="13">
        <f>E3*(1+Assumptions!B18)</f>
        <v>198686.32031249988</v>
      </c>
    </row>
    <row r="4" spans="1:7" x14ac:dyDescent="0.2">
      <c r="A4" t="s">
        <v>10</v>
      </c>
      <c r="B4" s="13">
        <f>Assumptions!B13</f>
        <v>60000</v>
      </c>
      <c r="C4" s="13">
        <f>B4*(1+Assumptions!B18)</f>
        <v>61499.999999999993</v>
      </c>
      <c r="D4" s="13">
        <f>C4*(1+Assumptions!B18)</f>
        <v>63037.499999999985</v>
      </c>
      <c r="E4" s="13">
        <f>D4*(1+Assumptions!B18)</f>
        <v>64613.437499999978</v>
      </c>
      <c r="F4" s="13">
        <f>E4*(1+Assumptions!B18)</f>
        <v>66228.773437499971</v>
      </c>
    </row>
    <row r="5" spans="1:7" x14ac:dyDescent="0.2">
      <c r="A5" t="s">
        <v>36</v>
      </c>
      <c r="B5" s="13">
        <f>Assumptions!B14</f>
        <v>120000</v>
      </c>
      <c r="C5" s="13">
        <f>B5*(1+Assumptions!B18)</f>
        <v>122999.99999999999</v>
      </c>
      <c r="D5" s="13">
        <f>C5*(1+Assumptions!B18)</f>
        <v>126074.99999999997</v>
      </c>
      <c r="E5" s="13">
        <f>D5*(1+Assumptions!B18)</f>
        <v>129226.87499999996</v>
      </c>
      <c r="F5" s="13">
        <f>E5*(1+Assumptions!B18)</f>
        <v>132457.54687499994</v>
      </c>
    </row>
    <row r="6" spans="1:7" x14ac:dyDescent="0.2">
      <c r="A6" t="s">
        <v>12</v>
      </c>
      <c r="B6" s="13">
        <f>Revenue!B7*Assumptions!B15</f>
        <v>70680</v>
      </c>
      <c r="C6" s="13">
        <f>Revenue!C7*Assumptions!B15</f>
        <v>72777.600000000006</v>
      </c>
      <c r="D6" s="13">
        <f>Revenue!D7*Assumptions!B15</f>
        <v>74937.672000000006</v>
      </c>
      <c r="E6" s="13">
        <f>Revenue!E7*Assumptions!B15</f>
        <v>77162.081040000005</v>
      </c>
      <c r="F6" s="13">
        <f>Revenue!F7*Assumptions!B15</f>
        <v>79452.747928800003</v>
      </c>
    </row>
    <row r="7" spans="1:7" x14ac:dyDescent="0.2">
      <c r="A7" t="s">
        <v>13</v>
      </c>
      <c r="B7" s="13">
        <f>Assumptions!B16</f>
        <v>90000</v>
      </c>
      <c r="C7" s="13">
        <f>B7*(1+Assumptions!B18)</f>
        <v>92249.999999999985</v>
      </c>
      <c r="D7" s="13">
        <f>C7*(1+Assumptions!B18)</f>
        <v>94556.249999999971</v>
      </c>
      <c r="E7" s="13">
        <f>D7*(1+Assumptions!B18)</f>
        <v>96920.156249999956</v>
      </c>
      <c r="F7" s="13">
        <f>E7*(1+Assumptions!B18)</f>
        <v>99343.160156249942</v>
      </c>
    </row>
    <row r="8" spans="1:7" x14ac:dyDescent="0.2">
      <c r="A8" t="s">
        <v>37</v>
      </c>
      <c r="B8" s="13">
        <f>Assumptions!B19</f>
        <v>20000</v>
      </c>
      <c r="C8" s="13">
        <f>B8*(1+Assumptions!B18)</f>
        <v>20500</v>
      </c>
      <c r="D8" s="13">
        <f>C8*(1+Assumptions!B18)</f>
        <v>21012.499999999996</v>
      </c>
      <c r="E8" s="13">
        <f>D8*(1+Assumptions!B18)</f>
        <v>21537.812499999993</v>
      </c>
      <c r="F8" s="13">
        <f>E8*(1+Assumptions!B18)</f>
        <v>22076.257812499989</v>
      </c>
    </row>
    <row r="9" spans="1:7" ht="17" thickBot="1" x14ac:dyDescent="0.25">
      <c r="A9" s="12" t="s">
        <v>14</v>
      </c>
      <c r="B9" s="15">
        <f>Assumptions!B17</f>
        <v>50000</v>
      </c>
      <c r="C9" s="15">
        <f>B9*(1+Assumptions!B18)</f>
        <v>51249.999999999993</v>
      </c>
      <c r="D9" s="15">
        <f>C9*(1+Assumptions!B18)</f>
        <v>52531.249999999985</v>
      </c>
      <c r="E9" s="15">
        <f>D9*(1+Assumptions!B18)</f>
        <v>53844.531249999978</v>
      </c>
      <c r="F9" s="15">
        <f>E9*(1+Assumptions!B18)</f>
        <v>55190.644531249971</v>
      </c>
    </row>
    <row r="10" spans="1:7" x14ac:dyDescent="0.2">
      <c r="A10" s="9" t="s">
        <v>38</v>
      </c>
      <c r="B10" s="13">
        <f>SUM(B3:B9)</f>
        <v>590680</v>
      </c>
      <c r="C10" s="13">
        <f t="shared" ref="C10:F10" si="0">SUM(C3:C9)</f>
        <v>605777.6</v>
      </c>
      <c r="D10" s="13">
        <f t="shared" si="0"/>
        <v>621262.6719999999</v>
      </c>
      <c r="E10" s="13">
        <f t="shared" si="0"/>
        <v>637145.20603999984</v>
      </c>
      <c r="F10" s="13">
        <f t="shared" si="0"/>
        <v>653435.45105379983</v>
      </c>
      <c r="G10" s="2"/>
    </row>
  </sheetData>
  <phoneticPr fontId="4" type="noConversion"/>
  <pageMargins left="0.7" right="0.7" top="0.75" bottom="0.75" header="0.3" footer="0.3"/>
  <ignoredErrors>
    <ignoredError sqref="C6:F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B11F-8573-5F40-8BB3-64BC02B8EAA3}">
  <dimension ref="A1:F4"/>
  <sheetViews>
    <sheetView zoomScale="200" zoomScaleNormal="200" workbookViewId="0">
      <selection activeCell="C5" sqref="C5"/>
    </sheetView>
  </sheetViews>
  <sheetFormatPr baseColWidth="10" defaultRowHeight="16" x14ac:dyDescent="0.2"/>
  <cols>
    <col min="1" max="1" width="24" bestFit="1" customWidth="1"/>
    <col min="2" max="6" width="14" bestFit="1" customWidth="1"/>
  </cols>
  <sheetData>
    <row r="1" spans="1:6" x14ac:dyDescent="0.2">
      <c r="B1" s="19" t="s">
        <v>22</v>
      </c>
      <c r="C1" s="19" t="s">
        <v>23</v>
      </c>
      <c r="D1" s="19" t="s">
        <v>24</v>
      </c>
      <c r="E1" s="19" t="s">
        <v>25</v>
      </c>
      <c r="F1" s="19" t="s">
        <v>26</v>
      </c>
    </row>
    <row r="2" spans="1:6" x14ac:dyDescent="0.2">
      <c r="A2" t="s">
        <v>21</v>
      </c>
      <c r="B2" s="2">
        <f>Revenue!B7</f>
        <v>1767000</v>
      </c>
      <c r="C2" s="2">
        <f>Revenue!C2</f>
        <v>1854000</v>
      </c>
      <c r="D2" s="2">
        <f>Revenue!D2</f>
        <v>1909620</v>
      </c>
      <c r="E2" s="2">
        <f>Revenue!E2</f>
        <v>1966908.6</v>
      </c>
      <c r="F2" s="2">
        <f>Revenue!F2</f>
        <v>2025915.8580000002</v>
      </c>
    </row>
    <row r="3" spans="1:6" ht="17" thickBot="1" x14ac:dyDescent="0.25">
      <c r="A3" s="17" t="s">
        <v>8</v>
      </c>
      <c r="B3" s="18">
        <f>Expenses!B10</f>
        <v>590680</v>
      </c>
      <c r="C3" s="18">
        <f>Expenses!C10</f>
        <v>605777.6</v>
      </c>
      <c r="D3" s="18">
        <f>Expenses!D10</f>
        <v>621262.6719999999</v>
      </c>
      <c r="E3" s="18">
        <f>Expenses!E10</f>
        <v>637145.20603999984</v>
      </c>
      <c r="F3" s="18">
        <f>Expenses!F10</f>
        <v>653435.45105379983</v>
      </c>
    </row>
    <row r="4" spans="1:6" x14ac:dyDescent="0.2">
      <c r="A4" s="9" t="s">
        <v>40</v>
      </c>
      <c r="B4" s="16">
        <f>B2-B3</f>
        <v>1176320</v>
      </c>
      <c r="C4" s="16">
        <f t="shared" ref="C4:F4" si="0">C2-C3</f>
        <v>1248222.3999999999</v>
      </c>
      <c r="D4" s="16">
        <f t="shared" si="0"/>
        <v>1288357.3280000002</v>
      </c>
      <c r="E4" s="16">
        <f t="shared" si="0"/>
        <v>1329763.3939600002</v>
      </c>
      <c r="F4" s="16">
        <f t="shared" si="0"/>
        <v>1372480.4069462004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D1A8-2CB5-E94E-B1EB-E6F1415C5273}">
  <dimension ref="A2:F17"/>
  <sheetViews>
    <sheetView tabSelected="1" zoomScale="140" zoomScaleNormal="140" workbookViewId="0">
      <selection activeCell="B2" sqref="B2"/>
    </sheetView>
  </sheetViews>
  <sheetFormatPr baseColWidth="10" defaultRowHeight="16" x14ac:dyDescent="0.2"/>
  <cols>
    <col min="1" max="1" width="15.5" bestFit="1" customWidth="1"/>
    <col min="2" max="2" width="15" bestFit="1" customWidth="1"/>
    <col min="3" max="6" width="14.1640625" bestFit="1" customWidth="1"/>
  </cols>
  <sheetData>
    <row r="2" spans="1:6" x14ac:dyDescent="0.2">
      <c r="A2" t="s">
        <v>1</v>
      </c>
      <c r="B2" s="2">
        <f>Assumptions!B3</f>
        <v>12000000</v>
      </c>
    </row>
    <row r="3" spans="1:6" x14ac:dyDescent="0.2">
      <c r="A3" t="s">
        <v>16</v>
      </c>
      <c r="B3" s="20">
        <f>Assumptions!B22</f>
        <v>0.7</v>
      </c>
    </row>
    <row r="4" spans="1:6" x14ac:dyDescent="0.2">
      <c r="A4" t="s">
        <v>41</v>
      </c>
      <c r="B4" s="2">
        <f>B2*B3</f>
        <v>8400000</v>
      </c>
    </row>
    <row r="5" spans="1:6" x14ac:dyDescent="0.2">
      <c r="A5" t="s">
        <v>42</v>
      </c>
      <c r="B5" s="2">
        <f>B2-B4</f>
        <v>3600000</v>
      </c>
    </row>
    <row r="6" spans="1:6" x14ac:dyDescent="0.2">
      <c r="A6" t="s">
        <v>17</v>
      </c>
      <c r="B6" s="21">
        <f>Assumptions!B23</f>
        <v>6.25E-2</v>
      </c>
    </row>
    <row r="7" spans="1:6" x14ac:dyDescent="0.2">
      <c r="A7" t="s">
        <v>18</v>
      </c>
      <c r="B7">
        <f>Assumptions!B24</f>
        <v>30</v>
      </c>
    </row>
    <row r="8" spans="1:6" x14ac:dyDescent="0.2">
      <c r="A8" t="s">
        <v>43</v>
      </c>
      <c r="B8" s="22">
        <f>PMT(B6,B7,B4)</f>
        <v>-626663.83001773537</v>
      </c>
    </row>
    <row r="10" spans="1:6" x14ac:dyDescent="0.2">
      <c r="B10" t="s">
        <v>22</v>
      </c>
      <c r="C10" t="s">
        <v>23</v>
      </c>
      <c r="D10" t="s">
        <v>24</v>
      </c>
      <c r="E10" t="s">
        <v>25</v>
      </c>
      <c r="F10" t="s">
        <v>26</v>
      </c>
    </row>
    <row r="11" spans="1:6" x14ac:dyDescent="0.2">
      <c r="A11" t="s">
        <v>44</v>
      </c>
      <c r="B11" s="2">
        <f>B4</f>
        <v>8400000</v>
      </c>
      <c r="C11" s="2">
        <f>B15</f>
        <v>8298336.1699822647</v>
      </c>
      <c r="D11" s="2">
        <f>C15</f>
        <v>8190318.3505884213</v>
      </c>
      <c r="E11" s="2">
        <f>D15</f>
        <v>8075549.4174824627</v>
      </c>
      <c r="F11" s="2">
        <f>E15</f>
        <v>7953607.4260573816</v>
      </c>
    </row>
    <row r="12" spans="1:6" x14ac:dyDescent="0.2">
      <c r="A12" t="s">
        <v>45</v>
      </c>
      <c r="B12" s="22">
        <f>B8</f>
        <v>-626663.83001773537</v>
      </c>
      <c r="C12" s="22">
        <f>B8</f>
        <v>-626663.83001773537</v>
      </c>
      <c r="D12" s="22">
        <f>B8</f>
        <v>-626663.83001773537</v>
      </c>
      <c r="E12" s="22">
        <f>B8</f>
        <v>-626663.83001773537</v>
      </c>
      <c r="F12" s="22">
        <f>B8</f>
        <v>-626663.83001773537</v>
      </c>
    </row>
    <row r="13" spans="1:6" x14ac:dyDescent="0.2">
      <c r="A13" t="s">
        <v>46</v>
      </c>
      <c r="B13" s="1">
        <f>B11*B6</f>
        <v>525000</v>
      </c>
      <c r="C13" s="1">
        <f>B6*C11</f>
        <v>518646.01062389155</v>
      </c>
      <c r="D13" s="1">
        <f>B6*D11</f>
        <v>511894.89691177633</v>
      </c>
      <c r="E13" s="1">
        <f>B6*E11</f>
        <v>504721.83859265392</v>
      </c>
      <c r="F13" s="1">
        <f>B6*F11</f>
        <v>497100.46412858635</v>
      </c>
    </row>
    <row r="14" spans="1:6" x14ac:dyDescent="0.2">
      <c r="A14" t="s">
        <v>47</v>
      </c>
      <c r="B14" s="22">
        <f>(-1*B12)-B13</f>
        <v>101663.83001773537</v>
      </c>
      <c r="C14" s="22">
        <f>(-1*C12)-C13</f>
        <v>108017.81939384382</v>
      </c>
      <c r="D14" s="22">
        <f t="shared" ref="D14:F14" si="0">(-1*D12)-D13</f>
        <v>114768.93310595903</v>
      </c>
      <c r="E14" s="22">
        <f t="shared" si="0"/>
        <v>121941.99142508145</v>
      </c>
      <c r="F14" s="22">
        <f t="shared" si="0"/>
        <v>129563.36588914902</v>
      </c>
    </row>
    <row r="15" spans="1:6" x14ac:dyDescent="0.2">
      <c r="A15" t="s">
        <v>48</v>
      </c>
      <c r="B15" s="2">
        <f>B11-B14</f>
        <v>8298336.1699822647</v>
      </c>
      <c r="C15" s="2">
        <f t="shared" ref="C15:F15" si="1">C11-C14</f>
        <v>8190318.3505884213</v>
      </c>
      <c r="D15" s="2">
        <f t="shared" si="1"/>
        <v>8075549.4174824627</v>
      </c>
      <c r="E15" s="2">
        <f t="shared" si="1"/>
        <v>7953607.4260573816</v>
      </c>
      <c r="F15" s="2">
        <f t="shared" si="1"/>
        <v>7824044.0601682328</v>
      </c>
    </row>
    <row r="17" spans="2:2" x14ac:dyDescent="0.2">
      <c r="B17" s="2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6D55-3055-0A4C-9F6C-0038D7D40D1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0A68-7096-4949-9D7C-8096C07FB73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50A1-F1F4-6D4B-B0E7-444CB6FC469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2F7A-B98C-3443-8089-9A14254EFB2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2162-162C-AD4D-B2CD-2A550BD3796D}">
  <dimension ref="B2:B4"/>
  <sheetViews>
    <sheetView workbookViewId="0"/>
  </sheetViews>
  <sheetFormatPr baseColWidth="10" defaultRowHeight="16" x14ac:dyDescent="0.2"/>
  <sheetData>
    <row r="2" spans="2:2" x14ac:dyDescent="0.2">
      <c r="B2" t="s">
        <v>31</v>
      </c>
    </row>
    <row r="3" spans="2:2" x14ac:dyDescent="0.2">
      <c r="B3" t="s">
        <v>32</v>
      </c>
    </row>
    <row r="4" spans="2:2" x14ac:dyDescent="0.2">
      <c r="B4" t="s">
        <v>33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Assumptions</vt:lpstr>
      <vt:lpstr>Revenue</vt:lpstr>
      <vt:lpstr>Expenses</vt:lpstr>
      <vt:lpstr>NOI</vt:lpstr>
      <vt:lpstr>Debt</vt:lpstr>
      <vt:lpstr>Cash Flow</vt:lpstr>
      <vt:lpstr>Returns</vt:lpstr>
      <vt:lpstr>Sensitivity Analysis</vt:lpstr>
      <vt:lpstr>Sources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Brighton Allen</dc:creator>
  <cp:lastModifiedBy>Brighton Allen</cp:lastModifiedBy>
  <dcterms:created xsi:type="dcterms:W3CDTF">2026-07-30T15:30:26Z</dcterms:created>
  <dcterms:modified xsi:type="dcterms:W3CDTF">2026-08-05T16:55:56Z</dcterms:modified>
</cp:coreProperties>
</file>