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ghtonallen/Documents/Sp:Su26/Finance Projects/Real Estate Acquisition Model/"/>
    </mc:Choice>
  </mc:AlternateContent>
  <xr:revisionPtr revIDLastSave="0" documentId="8_{E6DA26DC-8663-9C4E-BEBB-C52FB350B3CE}" xr6:coauthVersionLast="47" xr6:coauthVersionMax="47" xr10:uidLastSave="{00000000-0000-0000-0000-000000000000}"/>
  <bookViews>
    <workbookView xWindow="0" yWindow="740" windowWidth="29400" windowHeight="18380" activeTab="9" xr2:uid="{A51A2E3A-5E52-7B43-9BEA-5C287CCFCE9D}"/>
  </bookViews>
  <sheets>
    <sheet name="Dashboard" sheetId="4" r:id="rId1"/>
    <sheet name="Assumptions" sheetId="1" r:id="rId2"/>
    <sheet name="Revenue" sheetId="2" r:id="rId3"/>
    <sheet name="Expenses" sheetId="3" r:id="rId4"/>
    <sheet name="NOI" sheetId="5" r:id="rId5"/>
    <sheet name="Debt Schedule" sheetId="6" r:id="rId6"/>
    <sheet name="Cash Flow" sheetId="7" r:id="rId7"/>
    <sheet name="Returns" sheetId="8" r:id="rId8"/>
    <sheet name="Sensitivity Analysis" sheetId="9" r:id="rId9"/>
    <sheet name="Sources" sheetId="10" r:id="rId10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4" l="1"/>
  <c r="F59" i="4"/>
  <c r="E59" i="4"/>
  <c r="D59" i="4"/>
  <c r="C59" i="4"/>
  <c r="B59" i="4"/>
  <c r="A59" i="4"/>
  <c r="B3" i="9"/>
  <c r="C3" i="9"/>
  <c r="D3" i="9"/>
  <c r="E3" i="9"/>
  <c r="F3" i="9"/>
  <c r="B4" i="9"/>
  <c r="C4" i="9"/>
  <c r="D4" i="9"/>
  <c r="E4" i="9"/>
  <c r="F4" i="9"/>
  <c r="B5" i="9"/>
  <c r="C5" i="9"/>
  <c r="D5" i="9"/>
  <c r="E5" i="9"/>
  <c r="F5" i="9"/>
  <c r="B6" i="9"/>
  <c r="C6" i="9"/>
  <c r="D6" i="9"/>
  <c r="E6" i="9"/>
  <c r="F6" i="9"/>
  <c r="B7" i="9"/>
  <c r="C7" i="9"/>
  <c r="D7" i="9"/>
  <c r="E7" i="9"/>
  <c r="F7" i="9"/>
  <c r="C47" i="4" a="1"/>
  <c r="C47" i="4"/>
  <c r="B2" i="6"/>
  <c r="B4" i="6"/>
  <c r="B8" i="6"/>
  <c r="G3" i="7"/>
  <c r="G4" i="7"/>
  <c r="B5" i="6"/>
  <c r="B3" i="8"/>
  <c r="B8" i="8"/>
  <c r="C41" i="4"/>
  <c r="C3" i="7"/>
  <c r="C4" i="7"/>
  <c r="B4" i="8"/>
  <c r="A41" i="4"/>
  <c r="C6" i="7"/>
  <c r="D3" i="7"/>
  <c r="D4" i="7"/>
  <c r="D6" i="7"/>
  <c r="E3" i="7"/>
  <c r="E4" i="7"/>
  <c r="E6" i="7"/>
  <c r="F3" i="7"/>
  <c r="F4" i="7"/>
  <c r="F6" i="7"/>
  <c r="B11" i="6"/>
  <c r="B12" i="6"/>
  <c r="B13" i="6"/>
  <c r="B14" i="6"/>
  <c r="B15" i="6"/>
  <c r="C11" i="6"/>
  <c r="C12" i="6"/>
  <c r="C13" i="6"/>
  <c r="C14" i="6"/>
  <c r="C15" i="6"/>
  <c r="D11" i="6"/>
  <c r="D12" i="6"/>
  <c r="D13" i="6"/>
  <c r="D14" i="6"/>
  <c r="D15" i="6"/>
  <c r="E11" i="6"/>
  <c r="E12" i="6"/>
  <c r="E13" i="6"/>
  <c r="E14" i="6"/>
  <c r="E15" i="6"/>
  <c r="F11" i="6"/>
  <c r="F12" i="6"/>
  <c r="F13" i="6"/>
  <c r="F14" i="6"/>
  <c r="F15" i="6"/>
  <c r="G5" i="7"/>
  <c r="G6" i="7"/>
  <c r="B4" i="7"/>
  <c r="B6" i="7"/>
  <c r="B11" i="8"/>
  <c r="C37" i="4"/>
  <c r="B9" i="8"/>
  <c r="B37" i="4"/>
  <c r="B10" i="8"/>
  <c r="A37" i="4"/>
  <c r="J21" i="4"/>
  <c r="I21" i="4"/>
  <c r="H21" i="4"/>
  <c r="G21" i="4"/>
  <c r="F21" i="4"/>
  <c r="B21" i="4"/>
  <c r="A21" i="4"/>
  <c r="C21" i="4"/>
  <c r="D10" i="4"/>
  <c r="C10" i="4"/>
  <c r="B10" i="4"/>
  <c r="A10" i="4"/>
  <c r="B3" i="6"/>
  <c r="B6" i="6"/>
  <c r="B7" i="6"/>
  <c r="B2" i="2"/>
  <c r="B3" i="2"/>
  <c r="B4" i="2"/>
  <c r="B6" i="2"/>
  <c r="B7" i="2"/>
  <c r="B2" i="5"/>
  <c r="B3" i="3"/>
  <c r="B4" i="3"/>
  <c r="B5" i="3"/>
  <c r="B6" i="3"/>
  <c r="B7" i="3"/>
  <c r="B8" i="3"/>
  <c r="B9" i="3"/>
  <c r="B10" i="3"/>
  <c r="B3" i="5"/>
  <c r="B4" i="5"/>
  <c r="C2" i="7"/>
  <c r="C2" i="2"/>
  <c r="C3" i="2"/>
  <c r="C4" i="2"/>
  <c r="C6" i="2"/>
  <c r="C7" i="2"/>
  <c r="C2" i="5"/>
  <c r="C3" i="3"/>
  <c r="C4" i="3"/>
  <c r="C5" i="3"/>
  <c r="C6" i="3"/>
  <c r="C7" i="3"/>
  <c r="C8" i="3"/>
  <c r="C9" i="3"/>
  <c r="C10" i="3"/>
  <c r="C3" i="5"/>
  <c r="C4" i="5"/>
  <c r="D2" i="7"/>
  <c r="D2" i="2"/>
  <c r="D3" i="2"/>
  <c r="D4" i="2"/>
  <c r="D6" i="2"/>
  <c r="D7" i="2"/>
  <c r="D2" i="5"/>
  <c r="D3" i="3"/>
  <c r="D4" i="3"/>
  <c r="D5" i="3"/>
  <c r="D6" i="3"/>
  <c r="D7" i="3"/>
  <c r="D8" i="3"/>
  <c r="D9" i="3"/>
  <c r="D10" i="3"/>
  <c r="D3" i="5"/>
  <c r="D4" i="5"/>
  <c r="E2" i="7"/>
  <c r="E2" i="2"/>
  <c r="E3" i="2"/>
  <c r="E4" i="2"/>
  <c r="E6" i="2"/>
  <c r="E7" i="2"/>
  <c r="E2" i="5"/>
  <c r="E3" i="3"/>
  <c r="E4" i="3"/>
  <c r="E5" i="3"/>
  <c r="E6" i="3"/>
  <c r="E7" i="3"/>
  <c r="E8" i="3"/>
  <c r="E9" i="3"/>
  <c r="E10" i="3"/>
  <c r="E3" i="5"/>
  <c r="E4" i="5"/>
  <c r="F2" i="7"/>
  <c r="F2" i="2"/>
  <c r="F3" i="2"/>
  <c r="F4" i="2"/>
  <c r="F6" i="2"/>
  <c r="F7" i="2"/>
  <c r="F2" i="5"/>
  <c r="F3" i="3"/>
  <c r="F4" i="3"/>
  <c r="F5" i="3"/>
  <c r="F6" i="3"/>
  <c r="F7" i="3"/>
  <c r="F8" i="3"/>
  <c r="F9" i="3"/>
  <c r="F10" i="3"/>
  <c r="F3" i="5"/>
  <c r="F4" i="5"/>
  <c r="G2" i="7"/>
  <c r="A29" i="1"/>
  <c r="B7" i="8"/>
  <c r="B6" i="8"/>
  <c r="B5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<sst xmlns="http://schemas.openxmlformats.org/spreadsheetml/2006/main" count="154" uniqueCount="113">
  <si>
    <t>Property Information</t>
  </si>
  <si>
    <t>Purchase Price</t>
  </si>
  <si>
    <t>Units</t>
  </si>
  <si>
    <t>Average Monthly Rent</t>
  </si>
  <si>
    <t>Other Monthly Income per Unit</t>
  </si>
  <si>
    <t>Vacancy Rate</t>
  </si>
  <si>
    <t>Annual Rent Growth</t>
  </si>
  <si>
    <t>Other Income Growth</t>
  </si>
  <si>
    <t>Operating Expenses</t>
  </si>
  <si>
    <t>Property Taxes</t>
  </si>
  <si>
    <t>Insurance</t>
  </si>
  <si>
    <t>Repairs and Maintenance</t>
  </si>
  <si>
    <t>Property Management</t>
  </si>
  <si>
    <t>Utilities</t>
  </si>
  <si>
    <t>Other Expenses</t>
  </si>
  <si>
    <t>Financing</t>
  </si>
  <si>
    <t>Loan-to-Value</t>
  </si>
  <si>
    <t>Interest Rate</t>
  </si>
  <si>
    <t>Loan Term</t>
  </si>
  <si>
    <t>Gross Rental Income</t>
  </si>
  <si>
    <t>Other Income</t>
  </si>
  <si>
    <t>Effective Gross Income</t>
  </si>
  <si>
    <t>Year 1</t>
  </si>
  <si>
    <t>Year 2</t>
  </si>
  <si>
    <t>Year 3</t>
  </si>
  <si>
    <t>Year 4</t>
  </si>
  <si>
    <t>Year 5</t>
  </si>
  <si>
    <t>Gross Potential Income</t>
  </si>
  <si>
    <t>Loan Term (Years)</t>
  </si>
  <si>
    <t>Holding Period (Years)</t>
  </si>
  <si>
    <t>Property Management (% of Revenue)</t>
  </si>
  <si>
    <t>Vacancy Loss</t>
  </si>
  <si>
    <t>Expense</t>
  </si>
  <si>
    <t>Repairs &amp; Maintenance</t>
  </si>
  <si>
    <t>Administrative</t>
  </si>
  <si>
    <t>Total Operating Expenses</t>
  </si>
  <si>
    <t>Operating Expense Growth</t>
  </si>
  <si>
    <t>Net Operating Income (NOI)</t>
  </si>
  <si>
    <t>Loan Amount</t>
  </si>
  <si>
    <t>Equity Investment</t>
  </si>
  <si>
    <t>Annual Payment</t>
  </si>
  <si>
    <t>Beginning Balance</t>
  </si>
  <si>
    <t>Payment</t>
  </si>
  <si>
    <t>Interest</t>
  </si>
  <si>
    <t>Principal</t>
  </si>
  <si>
    <t>Ending Balance</t>
  </si>
  <si>
    <t>Net Operating Income</t>
  </si>
  <si>
    <t>Debt Service (Annual Payment)</t>
  </si>
  <si>
    <t>Cash Flow Before Sale</t>
  </si>
  <si>
    <t>Exit Cap Rate</t>
  </si>
  <si>
    <t>IRR</t>
  </si>
  <si>
    <t>NPV</t>
  </si>
  <si>
    <t>Investment Returns</t>
  </si>
  <si>
    <t>Initial Equity Investment</t>
  </si>
  <si>
    <t>Year 1 Cash-on-Cash Return</t>
  </si>
  <si>
    <t>Year 2 Cash-on-Cash Return</t>
  </si>
  <si>
    <t>Year 3 Cash-on-Cash Return</t>
  </si>
  <si>
    <t>Year  4 Cash-on-Cash Return</t>
  </si>
  <si>
    <t>Year 5 Cash-on-Cash Return</t>
  </si>
  <si>
    <t>Discount Rate</t>
  </si>
  <si>
    <t>Year 0</t>
  </si>
  <si>
    <t>Levered Cash Flow to Equity</t>
  </si>
  <si>
    <t>Equity Multiple (x)</t>
  </si>
  <si>
    <t>Exit Cap Rate / Purchase Price</t>
  </si>
  <si>
    <t>Key Takeaways:</t>
  </si>
  <si>
    <t xml:space="preserve">             REAL ESTATE ACQUISITION MODEL</t>
  </si>
  <si>
    <t xml:space="preserve">                  Investment Dashboard</t>
  </si>
  <si>
    <t xml:space="preserve"> DEAL OVERVIEW</t>
  </si>
  <si>
    <t xml:space="preserve"> OPERATING PERFORMANCE</t>
  </si>
  <si>
    <t xml:space="preserve"> INVESTMENT RETURNS</t>
  </si>
  <si>
    <t xml:space="preserve">      Year 1 CoC ----------------&gt; Year 5 CoC</t>
  </si>
  <si>
    <t xml:space="preserve"> SENSITIVITY ANALYSIS</t>
  </si>
  <si>
    <t xml:space="preserve"> KEY ASSUMPTIONS</t>
  </si>
  <si>
    <t xml:space="preserve"> Purchase Price</t>
  </si>
  <si>
    <t>Initial Equity</t>
  </si>
  <si>
    <t>LTV</t>
  </si>
  <si>
    <t>Hold Period (Years)</t>
  </si>
  <si>
    <t xml:space="preserve"> Year 1 NOI</t>
  </si>
  <si>
    <t>Year 5 NOI</t>
  </si>
  <si>
    <t>NOI Growth</t>
  </si>
  <si>
    <t>NOI</t>
  </si>
  <si>
    <t xml:space="preserve">       IRR </t>
  </si>
  <si>
    <t>Equity Multiple</t>
  </si>
  <si>
    <t>At 8% discount rate</t>
  </si>
  <si>
    <t>Rent Growth</t>
  </si>
  <si>
    <t>Vacancy</t>
  </si>
  <si>
    <t>Holding the exit cap rate constant, increasing the purchase price consistently reduces IRR.</t>
  </si>
  <si>
    <t>Holding the purchase price constant, increasing the exit cap rate also reduces IRR.</t>
  </si>
  <si>
    <t>Purchase price appears to have the larger impact on IRR across the tested ranges.</t>
  </si>
  <si>
    <t>Increasing the purchase price from $10M to $14M reduces IRR by approximately 20 percentage points on average across the tested exit cap rates.</t>
  </si>
  <si>
    <t>Net Sale Proceeds to Equity</t>
  </si>
  <si>
    <t>Category</t>
  </si>
  <si>
    <t>Source</t>
  </si>
  <si>
    <t>What it Supports</t>
  </si>
  <si>
    <t>Modeling Methodology</t>
  </si>
  <si>
    <t>Financing Methodology</t>
  </si>
  <si>
    <t>Modeling Assumptions</t>
  </si>
  <si>
    <t>Property Data</t>
  </si>
  <si>
    <t>OCC</t>
  </si>
  <si>
    <t>FDIC</t>
  </si>
  <si>
    <t>Analyst Assumptions</t>
  </si>
  <si>
    <t>N/A</t>
  </si>
  <si>
    <t>NOI, capitalization, rates, DCF, underwriting and senstivity analysis</t>
  </si>
  <si>
    <t>LTV and CRE lending concepts</t>
  </si>
  <si>
    <t>Purchas price, rent, vacancy, expense growth, financing, exit cap, discount rate</t>
  </si>
  <si>
    <t>No specific property analyzed</t>
  </si>
  <si>
    <t>OCC Commerical Real Estate Lending</t>
  </si>
  <si>
    <t>Reference</t>
  </si>
  <si>
    <t>FDIC Commerical Real Estate Lending</t>
  </si>
  <si>
    <t>Hyporthetical assumptions</t>
  </si>
  <si>
    <t>Hypothetical investment</t>
  </si>
  <si>
    <t>Modeling Note: This model represents a hypothetical multifamily real estate acquisition and is intended for educational and portfolio purposes. Property-level assumptions are illustrative and are not based on a specific property or market. The model is designed to demonstrate acquisition underwriting, operating projections, debt financing, cash flow analysis, return calculations, and sensitivity analysis.</t>
  </si>
  <si>
    <t>Real Estate Acquisition Model - Sources and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</si>
</sst>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75" formatCode="_(* #,##0_);_(* \(#,##0\);_(* &quot;-&quot;??_);_(@_)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FF0000"/>
      <name val="Aptos Narrow"/>
      <scheme val="minor"/>
    </font>
    <font>
      <b/>
      <u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88">
    <xf numFmtId="0" fontId="0" fillId="0" borderId="0" xfId="0"/>
    <xf numFmtId="164" fontId="0" fillId="0" borderId="0" xfId="2" applyNumberFormat="1" applyFont="1"/>
    <xf numFmtId="10" fontId="0" fillId="0" borderId="0" xfId="2" applyNumberFormat="1" applyFont="1"/>
    <xf numFmtId="44" fontId="0" fillId="0" borderId="0" xfId="0" applyNumberFormat="1"/>
    <xf numFmtId="44" fontId="0" fillId="2" borderId="0" xfId="1" applyFont="1" applyFill="1"/>
    <xf numFmtId="0" fontId="0" fillId="2" borderId="0" xfId="0" applyFill="1"/>
    <xf numFmtId="9" fontId="0" fillId="2" borderId="0" xfId="2" applyFont="1" applyFill="1"/>
    <xf numFmtId="10" fontId="0" fillId="2" borderId="0" xfId="2" applyNumberFormat="1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5" fillId="0" borderId="0" xfId="0" applyFont="1"/>
    <xf numFmtId="0" fontId="0" fillId="0" borderId="1" xfId="0" applyBorder="1"/>
    <xf numFmtId="164" fontId="0" fillId="2" borderId="0" xfId="2" applyNumberFormat="1" applyFont="1" applyFill="1"/>
    <xf numFmtId="0" fontId="0" fillId="0" borderId="2" xfId="0" applyBorder="1"/>
    <xf numFmtId="44" fontId="0" fillId="0" borderId="2" xfId="0" applyNumberFormat="1" applyBorder="1"/>
    <xf numFmtId="0" fontId="6" fillId="4" borderId="0" xfId="0" applyFont="1" applyFill="1"/>
    <xf numFmtId="44" fontId="0" fillId="2" borderId="0" xfId="0" applyNumberFormat="1" applyFill="1"/>
    <xf numFmtId="44" fontId="0" fillId="2" borderId="2" xfId="0" applyNumberFormat="1" applyFill="1" applyBorder="1"/>
    <xf numFmtId="44" fontId="5" fillId="0" borderId="0" xfId="0" applyNumberFormat="1" applyFont="1"/>
    <xf numFmtId="0" fontId="2" fillId="0" borderId="2" xfId="0" applyFont="1" applyBorder="1"/>
    <xf numFmtId="44" fontId="2" fillId="0" borderId="2" xfId="1" applyFont="1" applyBorder="1"/>
    <xf numFmtId="0" fontId="5" fillId="3" borderId="0" xfId="0" applyFont="1" applyFill="1"/>
    <xf numFmtId="10" fontId="0" fillId="0" borderId="0" xfId="0" applyNumberFormat="1"/>
    <xf numFmtId="8" fontId="0" fillId="2" borderId="0" xfId="0" applyNumberFormat="1" applyFill="1"/>
    <xf numFmtId="9" fontId="0" fillId="2" borderId="0" xfId="0" applyNumberFormat="1" applyFill="1"/>
    <xf numFmtId="10" fontId="0" fillId="2" borderId="0" xfId="0" applyNumberFormat="1" applyFill="1"/>
    <xf numFmtId="0" fontId="5" fillId="2" borderId="0" xfId="0" applyFont="1" applyFill="1"/>
    <xf numFmtId="8" fontId="2" fillId="0" borderId="2" xfId="0" applyNumberFormat="1" applyFont="1" applyBorder="1"/>
    <xf numFmtId="0" fontId="0" fillId="4" borderId="2" xfId="0" applyFill="1" applyBorder="1"/>
    <xf numFmtId="44" fontId="0" fillId="3" borderId="0" xfId="0" applyNumberFormat="1" applyFill="1"/>
    <xf numFmtId="44" fontId="7" fillId="0" borderId="0" xfId="0" applyNumberFormat="1" applyFont="1"/>
    <xf numFmtId="10" fontId="0" fillId="3" borderId="0" xfId="2" applyNumberFormat="1" applyFont="1" applyFill="1"/>
    <xf numFmtId="10" fontId="0" fillId="3" borderId="0" xfId="0" applyNumberFormat="1" applyFill="1"/>
    <xf numFmtId="2" fontId="0" fillId="3" borderId="0" xfId="0" applyNumberFormat="1" applyFill="1"/>
    <xf numFmtId="165" fontId="0" fillId="0" borderId="0" xfId="1" applyNumberFormat="1" applyFont="1"/>
    <xf numFmtId="165" fontId="0" fillId="2" borderId="3" xfId="1" applyNumberFormat="1" applyFont="1" applyFill="1" applyBorder="1"/>
    <xf numFmtId="165" fontId="0" fillId="2" borderId="4" xfId="1" applyNumberFormat="1" applyFont="1" applyFill="1" applyBorder="1"/>
    <xf numFmtId="165" fontId="0" fillId="2" borderId="5" xfId="1" applyNumberFormat="1" applyFont="1" applyFill="1" applyBorder="1"/>
    <xf numFmtId="164" fontId="0" fillId="2" borderId="6" xfId="2" applyNumberFormat="1" applyFont="1" applyFill="1" applyBorder="1"/>
    <xf numFmtId="164" fontId="0" fillId="2" borderId="7" xfId="2" applyNumberFormat="1" applyFont="1" applyFill="1" applyBorder="1"/>
    <xf numFmtId="164" fontId="0" fillId="2" borderId="8" xfId="2" applyNumberFormat="1" applyFont="1" applyFill="1" applyBorder="1"/>
    <xf numFmtId="10" fontId="6" fillId="4" borderId="0" xfId="0" applyNumberFormat="1" applyFont="1" applyFill="1"/>
    <xf numFmtId="10" fontId="8" fillId="0" borderId="0" xfId="0" applyNumberFormat="1" applyFont="1"/>
    <xf numFmtId="2" fontId="0" fillId="0" borderId="0" xfId="0" applyNumberFormat="1"/>
    <xf numFmtId="0" fontId="9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ont="1" applyFill="1" applyAlignment="1"/>
    <xf numFmtId="0" fontId="0" fillId="4" borderId="0" xfId="0" applyFill="1" applyAlignment="1">
      <alignment horizontal="center"/>
    </xf>
    <xf numFmtId="0" fontId="0" fillId="4" borderId="0" xfId="0" applyFill="1" applyAlignment="1"/>
    <xf numFmtId="0" fontId="9" fillId="0" borderId="0" xfId="0" applyFont="1"/>
    <xf numFmtId="44" fontId="9" fillId="0" borderId="0" xfId="0" applyNumberFormat="1" applyFont="1"/>
    <xf numFmtId="164" fontId="9" fillId="0" borderId="0" xfId="2" applyNumberFormat="1" applyFont="1"/>
    <xf numFmtId="44" fontId="10" fillId="0" borderId="0" xfId="0" applyNumberFormat="1" applyFont="1"/>
    <xf numFmtId="0" fontId="11" fillId="0" borderId="0" xfId="0" applyFont="1" applyAlignment="1">
      <alignment horizontal="center"/>
    </xf>
    <xf numFmtId="164" fontId="10" fillId="0" borderId="0" xfId="2" applyNumberFormat="1" applyFont="1"/>
    <xf numFmtId="175" fontId="10" fillId="0" borderId="0" xfId="3" applyNumberFormat="1" applyFont="1"/>
    <xf numFmtId="10" fontId="9" fillId="0" borderId="0" xfId="0" applyNumberFormat="1" applyFont="1"/>
    <xf numFmtId="2" fontId="9" fillId="0" borderId="0" xfId="0" applyNumberFormat="1" applyFont="1"/>
    <xf numFmtId="9" fontId="9" fillId="0" borderId="0" xfId="0" applyNumberFormat="1" applyFont="1"/>
    <xf numFmtId="10" fontId="12" fillId="4" borderId="0" xfId="0" applyNumberFormat="1" applyFont="1" applyFill="1"/>
    <xf numFmtId="165" fontId="13" fillId="2" borderId="0" xfId="1" applyNumberFormat="1" applyFont="1" applyFill="1"/>
    <xf numFmtId="164" fontId="13" fillId="2" borderId="0" xfId="2" applyNumberFormat="1" applyFont="1" applyFill="1"/>
    <xf numFmtId="10" fontId="14" fillId="0" borderId="0" xfId="2" applyNumberFormat="1" applyFont="1"/>
    <xf numFmtId="10" fontId="13" fillId="0" borderId="0" xfId="2" applyNumberFormat="1" applyFont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0" fontId="9" fillId="0" borderId="0" xfId="0" applyNumberFormat="1" applyFont="1" applyAlignment="1"/>
    <xf numFmtId="0" fontId="10" fillId="2" borderId="0" xfId="0" applyFont="1" applyFill="1" applyAlignment="1"/>
    <xf numFmtId="0" fontId="15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8" fillId="0" borderId="9" xfId="0" applyFont="1" applyBorder="1"/>
    <xf numFmtId="0" fontId="0" fillId="0" borderId="9" xfId="0" applyBorder="1"/>
    <xf numFmtId="0" fontId="0" fillId="0" borderId="9" xfId="0" applyBorder="1" applyAlignment="1"/>
    <xf numFmtId="0" fontId="0" fillId="0" borderId="9" xfId="0" applyBorder="1" applyAlignment="1">
      <alignment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6" fillId="0" borderId="3" xfId="4" applyBorder="1" applyAlignment="1">
      <alignment horizontal="center"/>
    </xf>
    <xf numFmtId="0" fontId="16" fillId="0" borderId="4" xfId="4" applyBorder="1" applyAlignment="1">
      <alignment horizontal="center"/>
    </xf>
    <xf numFmtId="0" fontId="16" fillId="0" borderId="5" xfId="4" applyBorder="1" applyAlignment="1">
      <alignment horizontal="center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NOI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Dashboard!$E$21</c:f>
              <c:strCache>
                <c:ptCount val="1"/>
                <c:pt idx="0">
                  <c:v>NOI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Dashboard!$F$20:$J$20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Dashboard!$F$21:$J$21</c:f>
              <c:numCache>
                <c:formatCode>_("$"* #,##0.00_);_("$"* \(#,##0.00\);_("$"* "-"??_);_(@_)</c:formatCode>
                <c:ptCount val="5"/>
                <c:pt idx="0">
                  <c:v>1176320</c:v>
                </c:pt>
                <c:pt idx="1">
                  <c:v>1213662.3999999999</c:v>
                </c:pt>
                <c:pt idx="2">
                  <c:v>1252179.128</c:v>
                </c:pt>
                <c:pt idx="3">
                  <c:v>1291906.8199600002</c:v>
                </c:pt>
                <c:pt idx="4">
                  <c:v>1332883.2471662003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5-3142-AE0D-3D1A7CC7E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7490655"/>
        <c:axId val="374442768"/>
      </c:lineChart>
      <c:catAx>
        <c:axId val="8274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442768"/>
        <c:crosses val="autoZero"/>
        <c:auto val="1"/>
        <c:lblAlgn val="ctr"/>
        <c:lblOffset val="100"/>
        <c:noMultiLvlLbl val="0"/>
      </c:catAx>
      <c:valAx>
        <c:axId val="37444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4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15</xdr:row>
      <xdr:rowOff>25400</xdr:rowOff>
    </xdr:from>
    <xdr:to>
      <xdr:col>10</xdr:col>
      <xdr:colOff>584200</xdr:colOff>
      <xdr:row>30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0AE45-9069-8D58-148D-920E4CDD2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dic.gov/credit/commercial-real-estate-lending?utm_source=chatgpt.com" TargetMode="External"/><Relationship Id="rId1" Type="http://schemas.openxmlformats.org/officeDocument/2006/relationships/hyperlink" Target="https://www.occ.treas.gov/publications-and-resources/publications/comptrollers-handbook/files/commercial-real-estate-lending/pub-ch-commercial-real-estate-previous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3846-8F6D-A64F-8696-DE974200AFD4}">
  <dimension ref="A2:M59"/>
  <sheetViews>
    <sheetView workbookViewId="0">
      <selection activeCell="F60" sqref="F60"/>
    </sheetView>
  </sheetViews>
  <sheetFormatPr baseColWidth="10" defaultRowHeight="16" x14ac:dyDescent="0.2"/>
  <cols>
    <col min="1" max="1" width="24.83203125" bestFit="1" customWidth="1"/>
    <col min="2" max="2" width="23" bestFit="1" customWidth="1"/>
    <col min="3" max="3" width="34.5" bestFit="1" customWidth="1"/>
    <col min="4" max="4" width="28.83203125" bestFit="1" customWidth="1"/>
    <col min="5" max="5" width="19.1640625" bestFit="1" customWidth="1"/>
    <col min="6" max="6" width="28.6640625" bestFit="1" customWidth="1"/>
    <col min="7" max="7" width="19.83203125" bestFit="1" customWidth="1"/>
    <col min="8" max="8" width="16.33203125" bestFit="1" customWidth="1"/>
    <col min="9" max="10" width="14" bestFit="1" customWidth="1"/>
  </cols>
  <sheetData>
    <row r="2" spans="1:13" ht="24" x14ac:dyDescent="0.3">
      <c r="A2" s="45" t="s">
        <v>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ht="24" x14ac:dyDescent="0.3">
      <c r="A3" s="45" t="s">
        <v>66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5" spans="1:13" x14ac:dyDescent="0.2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9"/>
    </row>
    <row r="6" spans="1:13" ht="19" x14ac:dyDescent="0.25">
      <c r="A6" s="54" t="s">
        <v>67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</row>
    <row r="7" spans="1:13" x14ac:dyDescent="0.2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9"/>
    </row>
    <row r="9" spans="1:13" ht="27" x14ac:dyDescent="0.35">
      <c r="A9" s="65" t="s">
        <v>73</v>
      </c>
      <c r="B9" s="65" t="s">
        <v>74</v>
      </c>
      <c r="C9" s="65" t="s">
        <v>75</v>
      </c>
      <c r="D9" s="65" t="s">
        <v>76</v>
      </c>
    </row>
    <row r="10" spans="1:13" ht="27" x14ac:dyDescent="0.35">
      <c r="A10" s="53">
        <f>Assumptions!B3</f>
        <v>12000000</v>
      </c>
      <c r="B10" s="53">
        <f>'Debt Schedule'!B2-'Debt Schedule'!B4</f>
        <v>3600000</v>
      </c>
      <c r="C10" s="55">
        <f>Assumptions!B22</f>
        <v>0.7</v>
      </c>
      <c r="D10" s="56">
        <f>Assumptions!B25</f>
        <v>5</v>
      </c>
    </row>
    <row r="13" spans="1:13" x14ac:dyDescent="0.2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9"/>
    </row>
    <row r="14" spans="1:13" ht="19" x14ac:dyDescent="0.25">
      <c r="A14" s="54" t="s">
        <v>68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1:13" x14ac:dyDescent="0.2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9"/>
    </row>
    <row r="20" spans="1:13" ht="27" x14ac:dyDescent="0.35">
      <c r="A20" s="65" t="s">
        <v>77</v>
      </c>
      <c r="B20" s="65" t="s">
        <v>78</v>
      </c>
      <c r="C20" s="65" t="s">
        <v>79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</row>
    <row r="21" spans="1:13" ht="24" x14ac:dyDescent="0.3">
      <c r="A21" s="51">
        <f>NOI!B4</f>
        <v>1176320</v>
      </c>
      <c r="B21" s="51">
        <f>NOI!F4</f>
        <v>1332883.2471662003</v>
      </c>
      <c r="C21" s="52">
        <f>(B21/A21)-1</f>
        <v>0.13309579635320357</v>
      </c>
      <c r="E21" t="s">
        <v>80</v>
      </c>
      <c r="F21" s="3">
        <f>NOI!B4</f>
        <v>1176320</v>
      </c>
      <c r="G21" s="3">
        <f>NOI!C4</f>
        <v>1213662.3999999999</v>
      </c>
      <c r="H21" s="3">
        <f>NOI!D4</f>
        <v>1252179.128</v>
      </c>
      <c r="I21" s="3">
        <f>NOI!E4</f>
        <v>1291906.8199600002</v>
      </c>
      <c r="J21" s="3">
        <f>NOI!F4</f>
        <v>1332883.2471662003</v>
      </c>
    </row>
    <row r="32" spans="1:13" x14ac:dyDescent="0.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</row>
    <row r="33" spans="1:13" ht="19" x14ac:dyDescent="0.25">
      <c r="A33" s="54" t="s">
        <v>69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spans="1:13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6" spans="1:13" ht="27" x14ac:dyDescent="0.35">
      <c r="A36" s="65" t="s">
        <v>81</v>
      </c>
      <c r="B36" s="65" t="s">
        <v>82</v>
      </c>
      <c r="C36" s="65" t="s">
        <v>51</v>
      </c>
    </row>
    <row r="37" spans="1:13" ht="24" x14ac:dyDescent="0.3">
      <c r="A37" s="57">
        <f>Returns!B10</f>
        <v>0.39835450652931526</v>
      </c>
      <c r="B37" s="58">
        <f>Returns!B9</f>
        <v>4.3931901375329243</v>
      </c>
      <c r="C37" s="51">
        <f>Returns!B11</f>
        <v>7509421.7086833511</v>
      </c>
    </row>
    <row r="38" spans="1:13" x14ac:dyDescent="0.2">
      <c r="A38" s="23"/>
      <c r="B38" s="44"/>
      <c r="C38" s="3" t="s">
        <v>83</v>
      </c>
    </row>
    <row r="40" spans="1:13" ht="27" x14ac:dyDescent="0.35">
      <c r="A40" s="67" t="s">
        <v>70</v>
      </c>
      <c r="B40" s="67"/>
      <c r="C40" s="67"/>
    </row>
    <row r="41" spans="1:13" ht="24" x14ac:dyDescent="0.3">
      <c r="A41" s="57">
        <f>Returns!B4</f>
        <v>0.15268226943951796</v>
      </c>
      <c r="C41" s="68">
        <f>Returns!B8</f>
        <v>0.19617206031901804</v>
      </c>
    </row>
    <row r="44" spans="1:13" x14ac:dyDescent="0.2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 ht="19" x14ac:dyDescent="0.25">
      <c r="A45" s="54" t="s">
        <v>71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spans="1:13" x14ac:dyDescent="0.2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 ht="22" x14ac:dyDescent="0.3">
      <c r="C47" s="60" t="str" cm="1">
        <f t="array" ref="C47:H52">'Sensitivity Analysis'!A2:F7</f>
        <v>Exit Cap Rate / Purchase Price</v>
      </c>
      <c r="D47" s="61">
        <v>10000000</v>
      </c>
      <c r="E47" s="61">
        <v>11000000</v>
      </c>
      <c r="F47" s="61">
        <v>12000000</v>
      </c>
      <c r="G47" s="61">
        <v>13000000</v>
      </c>
      <c r="H47" s="61">
        <v>14000000</v>
      </c>
    </row>
    <row r="48" spans="1:13" ht="22" x14ac:dyDescent="0.3">
      <c r="C48" s="62">
        <v>5.5E-2</v>
      </c>
      <c r="D48" s="63">
        <v>0.5639880473778609</v>
      </c>
      <c r="E48" s="63">
        <v>0.50819452213457028</v>
      </c>
      <c r="F48" s="63">
        <v>0.45800773660873917</v>
      </c>
      <c r="G48" s="63">
        <v>0.41220986621181632</v>
      </c>
      <c r="H48" s="63">
        <v>0.3698998985840829</v>
      </c>
    </row>
    <row r="49" spans="1:13" ht="22" x14ac:dyDescent="0.3">
      <c r="C49" s="62">
        <v>0.06</v>
      </c>
      <c r="D49" s="63">
        <v>0.53458995009881893</v>
      </c>
      <c r="E49" s="63">
        <v>0.47805008443002328</v>
      </c>
      <c r="F49" s="63">
        <v>0.42704506966336786</v>
      </c>
      <c r="G49" s="63">
        <v>0.38034514853694268</v>
      </c>
      <c r="H49" s="63">
        <v>0.33703681326979873</v>
      </c>
    </row>
    <row r="50" spans="1:13" ht="22" x14ac:dyDescent="0.3">
      <c r="C50" s="62">
        <v>6.5000000000000002E-2</v>
      </c>
      <c r="D50" s="63">
        <v>0.50760028833393522</v>
      </c>
      <c r="E50" s="63">
        <v>0.45025110133123714</v>
      </c>
      <c r="F50" s="64">
        <v>0.39835450652931526</v>
      </c>
      <c r="G50" s="63">
        <v>0.35066552712569821</v>
      </c>
      <c r="H50" s="63">
        <v>0.30625396012243655</v>
      </c>
    </row>
    <row r="51" spans="1:13" ht="22" x14ac:dyDescent="0.3">
      <c r="C51" s="62">
        <v>7.0000000000000007E-2</v>
      </c>
      <c r="D51" s="63">
        <v>0.48261726347954026</v>
      </c>
      <c r="E51" s="63">
        <v>0.42439832829445701</v>
      </c>
      <c r="F51" s="63">
        <v>0.37153716708162099</v>
      </c>
      <c r="G51" s="63">
        <v>0.32276948865478783</v>
      </c>
      <c r="H51" s="63">
        <v>0.2771429602388622</v>
      </c>
    </row>
    <row r="52" spans="1:13" ht="22" x14ac:dyDescent="0.3">
      <c r="C52" s="62">
        <v>7.4999999999999997E-2</v>
      </c>
      <c r="D52" s="63">
        <v>0.45932650891398819</v>
      </c>
      <c r="E52" s="63">
        <v>0.40017845860094292</v>
      </c>
      <c r="F52" s="63">
        <v>0.34627844536467567</v>
      </c>
      <c r="G52" s="63">
        <v>0.296337704582327</v>
      </c>
      <c r="H52" s="63">
        <v>0.24937466828003441</v>
      </c>
    </row>
    <row r="54" spans="1:13" x14ac:dyDescent="0.2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 ht="19" x14ac:dyDescent="0.25">
      <c r="A55" s="54" t="s">
        <v>72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spans="1:13" x14ac:dyDescent="0.2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</row>
    <row r="58" spans="1:13" ht="27" x14ac:dyDescent="0.35">
      <c r="A58" s="69" t="s">
        <v>84</v>
      </c>
      <c r="B58" s="69" t="s">
        <v>85</v>
      </c>
      <c r="C58" s="69" t="s">
        <v>7</v>
      </c>
      <c r="D58" s="69" t="s">
        <v>75</v>
      </c>
      <c r="E58" s="69" t="s">
        <v>17</v>
      </c>
      <c r="F58" s="69" t="s">
        <v>76</v>
      </c>
      <c r="G58" s="66" t="s">
        <v>49</v>
      </c>
    </row>
    <row r="59" spans="1:13" ht="24" x14ac:dyDescent="0.3">
      <c r="A59" s="59">
        <f>Assumptions!B8</f>
        <v>0.03</v>
      </c>
      <c r="B59" s="59">
        <f>Assumptions!B7</f>
        <v>0.05</v>
      </c>
      <c r="C59" s="59">
        <f>Assumptions!B9</f>
        <v>0.02</v>
      </c>
      <c r="D59" s="59">
        <f>Assumptions!B22</f>
        <v>0.7</v>
      </c>
      <c r="E59" s="57">
        <f>Assumptions!B23</f>
        <v>6.25E-2</v>
      </c>
      <c r="F59" s="50">
        <f>Assumptions!B25</f>
        <v>5</v>
      </c>
      <c r="G59" s="52">
        <f>Assumptions!B26</f>
        <v>6.5000000000000002E-2</v>
      </c>
    </row>
  </sheetData>
  <mergeCells count="10">
    <mergeCell ref="A33:M33"/>
    <mergeCell ref="A45:M45"/>
    <mergeCell ref="A55:M55"/>
    <mergeCell ref="A40:C40"/>
    <mergeCell ref="A14:L14"/>
    <mergeCell ref="A32:M32"/>
    <mergeCell ref="A34:M34"/>
    <mergeCell ref="A2:L2"/>
    <mergeCell ref="A3:L3"/>
    <mergeCell ref="A6:L6"/>
  </mergeCells>
  <phoneticPr fontId="4" type="noConversion"/>
  <conditionalFormatting sqref="D48:H52">
    <cfRule type="cellIs" dxfId="4" priority="1" operator="lessThan">
      <formula>$F$50</formula>
    </cfRule>
    <cfRule type="cellIs" dxfId="3" priority="2" operator="greaterThan">
      <formula>$F$50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053B-64B5-CE40-AA60-193E6CD639C1}">
  <dimension ref="A2:F34"/>
  <sheetViews>
    <sheetView zoomScale="125" zoomScaleNormal="180" workbookViewId="0">
      <selection activeCell="B4" sqref="B4"/>
    </sheetView>
  </sheetViews>
  <sheetFormatPr baseColWidth="10" defaultRowHeight="16" x14ac:dyDescent="0.2"/>
  <cols>
    <col min="1" max="1" width="32.1640625" bestFit="1" customWidth="1"/>
    <col min="2" max="2" width="15.33203125" bestFit="1" customWidth="1"/>
    <col min="3" max="6" width="13.1640625" bestFit="1" customWidth="1"/>
  </cols>
  <sheetData>
    <row r="2" spans="1:2" x14ac:dyDescent="0.2">
      <c r="A2" s="8" t="s">
        <v>0</v>
      </c>
    </row>
    <row r="3" spans="1:2" x14ac:dyDescent="0.2">
      <c r="A3" s="10" t="s">
        <v>1</v>
      </c>
      <c r="B3" s="4">
        <v>12000000</v>
      </c>
    </row>
    <row r="4" spans="1:2" x14ac:dyDescent="0.2">
      <c r="A4" s="10" t="s">
        <v>2</v>
      </c>
      <c r="B4" s="5">
        <v>100</v>
      </c>
    </row>
    <row r="5" spans="1:2" x14ac:dyDescent="0.2">
      <c r="A5" s="10" t="s">
        <v>3</v>
      </c>
      <c r="B5" s="4">
        <v>1500</v>
      </c>
    </row>
    <row r="6" spans="1:2" x14ac:dyDescent="0.2">
      <c r="A6" s="10" t="s">
        <v>4</v>
      </c>
      <c r="B6" s="4">
        <v>50</v>
      </c>
    </row>
    <row r="7" spans="1:2" x14ac:dyDescent="0.2">
      <c r="A7" s="10" t="s">
        <v>5</v>
      </c>
      <c r="B7" s="6">
        <v>0.05</v>
      </c>
    </row>
    <row r="8" spans="1:2" x14ac:dyDescent="0.2">
      <c r="A8" s="10" t="s">
        <v>6</v>
      </c>
      <c r="B8" s="6">
        <v>0.03</v>
      </c>
    </row>
    <row r="9" spans="1:2" x14ac:dyDescent="0.2">
      <c r="A9" s="10" t="s">
        <v>7</v>
      </c>
      <c r="B9" s="6">
        <v>0.02</v>
      </c>
    </row>
    <row r="11" spans="1:2" x14ac:dyDescent="0.2">
      <c r="A11" s="8" t="s">
        <v>8</v>
      </c>
    </row>
    <row r="12" spans="1:2" x14ac:dyDescent="0.2">
      <c r="A12" s="10" t="s">
        <v>9</v>
      </c>
      <c r="B12" s="4">
        <v>180000</v>
      </c>
    </row>
    <row r="13" spans="1:2" x14ac:dyDescent="0.2">
      <c r="A13" s="10" t="s">
        <v>10</v>
      </c>
      <c r="B13" s="4">
        <v>60000</v>
      </c>
    </row>
    <row r="14" spans="1:2" x14ac:dyDescent="0.2">
      <c r="A14" s="10" t="s">
        <v>11</v>
      </c>
      <c r="B14" s="4">
        <v>120000</v>
      </c>
    </row>
    <row r="15" spans="1:2" x14ac:dyDescent="0.2">
      <c r="A15" s="10" t="s">
        <v>30</v>
      </c>
      <c r="B15" s="6">
        <v>0.04</v>
      </c>
    </row>
    <row r="16" spans="1:2" x14ac:dyDescent="0.2">
      <c r="A16" s="10" t="s">
        <v>13</v>
      </c>
      <c r="B16" s="4">
        <v>90000</v>
      </c>
    </row>
    <row r="17" spans="1:6" x14ac:dyDescent="0.2">
      <c r="A17" s="10" t="s">
        <v>14</v>
      </c>
      <c r="B17" s="4">
        <v>50000</v>
      </c>
    </row>
    <row r="18" spans="1:6" x14ac:dyDescent="0.2">
      <c r="A18" s="10" t="s">
        <v>36</v>
      </c>
      <c r="B18" s="13">
        <v>2.5000000000000001E-2</v>
      </c>
    </row>
    <row r="19" spans="1:6" x14ac:dyDescent="0.2">
      <c r="A19" s="10" t="s">
        <v>34</v>
      </c>
      <c r="B19" s="4">
        <v>20000</v>
      </c>
    </row>
    <row r="21" spans="1:6" x14ac:dyDescent="0.2">
      <c r="A21" s="8" t="s">
        <v>15</v>
      </c>
    </row>
    <row r="22" spans="1:6" x14ac:dyDescent="0.2">
      <c r="A22" s="10" t="s">
        <v>16</v>
      </c>
      <c r="B22" s="6">
        <v>0.7</v>
      </c>
    </row>
    <row r="23" spans="1:6" x14ac:dyDescent="0.2">
      <c r="A23" s="10" t="s">
        <v>17</v>
      </c>
      <c r="B23" s="7">
        <v>6.25E-2</v>
      </c>
    </row>
    <row r="24" spans="1:6" x14ac:dyDescent="0.2">
      <c r="A24" s="10" t="s">
        <v>28</v>
      </c>
      <c r="B24" s="5">
        <v>30</v>
      </c>
    </row>
    <row r="25" spans="1:6" x14ac:dyDescent="0.2">
      <c r="A25" s="10" t="s">
        <v>29</v>
      </c>
      <c r="B25" s="5">
        <v>5</v>
      </c>
    </row>
    <row r="26" spans="1:6" x14ac:dyDescent="0.2">
      <c r="A26" s="10" t="s">
        <v>49</v>
      </c>
      <c r="B26" s="13">
        <v>6.5000000000000002E-2</v>
      </c>
    </row>
    <row r="27" spans="1:6" x14ac:dyDescent="0.2">
      <c r="A27" s="10" t="s">
        <v>59</v>
      </c>
      <c r="B27" s="6">
        <v>0.08</v>
      </c>
    </row>
    <row r="29" spans="1:6" x14ac:dyDescent="0.2">
      <c r="A29" s="23">
        <f>Returns!B10</f>
        <v>0.39835450652931526</v>
      </c>
      <c r="B29" s="35">
        <v>10000000</v>
      </c>
      <c r="C29" s="35">
        <v>11000000</v>
      </c>
      <c r="D29" s="35">
        <v>12000000</v>
      </c>
      <c r="E29" s="35">
        <v>13000000</v>
      </c>
      <c r="F29" s="35">
        <v>14000000</v>
      </c>
    </row>
    <row r="30" spans="1:6" x14ac:dyDescent="0.2">
      <c r="A30" s="1">
        <v>5.5E-2</v>
      </c>
      <c r="B30" s="2">
        <f t="dataTable" ref="B30:F34" dt2D="1" dtr="1" r1="B3" r2="B26"/>
        <v>0.5639880473778609</v>
      </c>
      <c r="C30" s="2">
        <v>0.50819452213457028</v>
      </c>
      <c r="D30" s="2">
        <v>0.45800773660873917</v>
      </c>
      <c r="E30" s="2">
        <v>0.41220986621181632</v>
      </c>
      <c r="F30" s="2">
        <v>0.3698998985840829</v>
      </c>
    </row>
    <row r="31" spans="1:6" x14ac:dyDescent="0.2">
      <c r="A31" s="1">
        <v>0.06</v>
      </c>
      <c r="B31" s="2">
        <v>0.53458995009881893</v>
      </c>
      <c r="C31" s="2">
        <v>0.47805008443002328</v>
      </c>
      <c r="D31" s="2">
        <v>0.42704506966336786</v>
      </c>
      <c r="E31" s="2">
        <v>0.38034514853694268</v>
      </c>
      <c r="F31" s="2">
        <v>0.33703681326979873</v>
      </c>
    </row>
    <row r="32" spans="1:6" x14ac:dyDescent="0.2">
      <c r="A32" s="1">
        <v>6.5000000000000002E-2</v>
      </c>
      <c r="B32" s="2">
        <v>0.50760028833393522</v>
      </c>
      <c r="C32" s="2">
        <v>0.45025110133123714</v>
      </c>
      <c r="D32" s="2">
        <v>0.39835450652931526</v>
      </c>
      <c r="E32" s="2">
        <v>0.35066552712569821</v>
      </c>
      <c r="F32" s="2">
        <v>0.30625396012243655</v>
      </c>
    </row>
    <row r="33" spans="1:6" x14ac:dyDescent="0.2">
      <c r="A33" s="1">
        <v>7.0000000000000007E-2</v>
      </c>
      <c r="B33" s="2">
        <v>0.48261726347954026</v>
      </c>
      <c r="C33" s="2">
        <v>0.42439832829445701</v>
      </c>
      <c r="D33" s="2">
        <v>0.37153716708162099</v>
      </c>
      <c r="E33" s="2">
        <v>0.32276948865478783</v>
      </c>
      <c r="F33" s="2">
        <v>0.2771429602388622</v>
      </c>
    </row>
    <row r="34" spans="1:6" x14ac:dyDescent="0.2">
      <c r="A34" s="1">
        <v>7.4999999999999997E-2</v>
      </c>
      <c r="B34" s="2">
        <v>0.45932650891398819</v>
      </c>
      <c r="C34" s="2">
        <v>0.40017845860094292</v>
      </c>
      <c r="D34" s="2">
        <v>0.34627844536467567</v>
      </c>
      <c r="E34" s="2">
        <v>0.296337704582327</v>
      </c>
      <c r="F34" s="2">
        <v>0.24937466828003441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F357-9EDC-CB4A-88B2-C43FF132496F}">
  <dimension ref="A1:F7"/>
  <sheetViews>
    <sheetView zoomScale="230" zoomScaleNormal="230" workbookViewId="0">
      <selection activeCell="B2" sqref="B2"/>
    </sheetView>
  </sheetViews>
  <sheetFormatPr baseColWidth="10" defaultRowHeight="16" x14ac:dyDescent="0.2"/>
  <cols>
    <col min="1" max="1" width="19.6640625" bestFit="1" customWidth="1"/>
    <col min="2" max="2" width="18" bestFit="1" customWidth="1"/>
    <col min="3" max="3" width="14.5" bestFit="1" customWidth="1"/>
    <col min="4" max="4" width="19.6640625" bestFit="1" customWidth="1"/>
    <col min="5" max="6" width="14.5" bestFit="1" customWidth="1"/>
  </cols>
  <sheetData>
    <row r="1" spans="1:6" x14ac:dyDescent="0.2"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</row>
    <row r="2" spans="1:6" x14ac:dyDescent="0.2">
      <c r="A2" t="s">
        <v>19</v>
      </c>
      <c r="B2" s="17">
        <f>Assumptions!B4*Assumptions!B5*12</f>
        <v>1800000</v>
      </c>
      <c r="C2" s="17">
        <f>B2*(1+Assumptions!B8)</f>
        <v>1854000</v>
      </c>
      <c r="D2" s="17">
        <f>C2*(1+Assumptions!B8)</f>
        <v>1909620</v>
      </c>
      <c r="E2" s="17">
        <f>D2*(1+Assumptions!B8)</f>
        <v>1966908.6</v>
      </c>
      <c r="F2" s="17">
        <f>E2*(1+Assumptions!B8)</f>
        <v>2025915.8580000002</v>
      </c>
    </row>
    <row r="3" spans="1:6" ht="17" thickBot="1" x14ac:dyDescent="0.25">
      <c r="A3" s="12" t="s">
        <v>20</v>
      </c>
      <c r="B3" s="17">
        <f>Assumptions!B4*Assumptions!B6*12</f>
        <v>60000</v>
      </c>
      <c r="C3" s="17">
        <f>B3*(1+Assumptions!B9)</f>
        <v>61200</v>
      </c>
      <c r="D3" s="17">
        <f>C3*(1+Assumptions!B9)</f>
        <v>62424</v>
      </c>
      <c r="E3" s="17">
        <f>D3*(1+Assumptions!B9)</f>
        <v>63672.480000000003</v>
      </c>
      <c r="F3" s="17">
        <f>E3*(1+Assumptions!B9)</f>
        <v>64945.929600000003</v>
      </c>
    </row>
    <row r="4" spans="1:6" ht="17" thickTop="1" x14ac:dyDescent="0.2">
      <c r="A4" s="11" t="s">
        <v>27</v>
      </c>
      <c r="B4" s="17">
        <f>B2+B3</f>
        <v>1860000</v>
      </c>
      <c r="C4" s="17">
        <f t="shared" ref="C4:F4" si="0">C2+C3</f>
        <v>1915200</v>
      </c>
      <c r="D4" s="17">
        <f t="shared" si="0"/>
        <v>1972044</v>
      </c>
      <c r="E4" s="17">
        <f t="shared" si="0"/>
        <v>2030581.08</v>
      </c>
      <c r="F4" s="17">
        <f t="shared" si="0"/>
        <v>2090861.7876000002</v>
      </c>
    </row>
    <row r="5" spans="1:6" x14ac:dyDescent="0.2">
      <c r="B5" s="5"/>
      <c r="C5" s="5"/>
      <c r="D5" s="5"/>
      <c r="E5" s="5"/>
      <c r="F5" s="5"/>
    </row>
    <row r="6" spans="1:6" ht="17" thickBot="1" x14ac:dyDescent="0.25">
      <c r="A6" s="12" t="s">
        <v>31</v>
      </c>
      <c r="B6" s="17">
        <f>B4*Assumptions!B7</f>
        <v>93000</v>
      </c>
      <c r="C6" s="17">
        <f>C4*Assumptions!B7</f>
        <v>95760</v>
      </c>
      <c r="D6" s="17">
        <f>D4*Assumptions!B7</f>
        <v>98602.200000000012</v>
      </c>
      <c r="E6" s="17">
        <f>E4*Assumptions!B7</f>
        <v>101529.054</v>
      </c>
      <c r="F6" s="17">
        <f>F4*Assumptions!B7</f>
        <v>104543.08938000002</v>
      </c>
    </row>
    <row r="7" spans="1:6" ht="17" thickTop="1" x14ac:dyDescent="0.2">
      <c r="A7" s="11" t="s">
        <v>21</v>
      </c>
      <c r="B7" s="17">
        <f>B4-B6</f>
        <v>1767000</v>
      </c>
      <c r="C7" s="17">
        <f t="shared" ref="C7:F7" si="1">C4-C6</f>
        <v>1819440</v>
      </c>
      <c r="D7" s="17">
        <f t="shared" si="1"/>
        <v>1873441.8</v>
      </c>
      <c r="E7" s="17">
        <f t="shared" si="1"/>
        <v>1929052.0260000001</v>
      </c>
      <c r="F7" s="17">
        <f t="shared" si="1"/>
        <v>1986318.6982200001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32EC-A291-F346-872C-061BC38C3EF0}">
  <dimension ref="A2:G10"/>
  <sheetViews>
    <sheetView zoomScale="210" zoomScaleNormal="210" workbookViewId="0"/>
  </sheetViews>
  <sheetFormatPr baseColWidth="10" defaultRowHeight="16" x14ac:dyDescent="0.2"/>
  <cols>
    <col min="1" max="1" width="22.5" bestFit="1" customWidth="1"/>
    <col min="2" max="7" width="12.83203125" bestFit="1" customWidth="1"/>
  </cols>
  <sheetData>
    <row r="2" spans="1:7" x14ac:dyDescent="0.2">
      <c r="A2" s="8" t="s">
        <v>32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</row>
    <row r="3" spans="1:7" x14ac:dyDescent="0.2">
      <c r="A3" t="s">
        <v>9</v>
      </c>
      <c r="B3" s="17">
        <f>Assumptions!B12</f>
        <v>180000</v>
      </c>
      <c r="C3" s="17">
        <f>Expenses!B3*(1+Assumptions!B18)</f>
        <v>184499.99999999997</v>
      </c>
      <c r="D3" s="17">
        <f>C3*(1+Assumptions!B18)</f>
        <v>189112.49999999994</v>
      </c>
      <c r="E3" s="17">
        <f>D3*(1+Assumptions!B18)</f>
        <v>193840.31249999991</v>
      </c>
      <c r="F3" s="17">
        <f>E3*(1+Assumptions!B18)</f>
        <v>198686.32031249988</v>
      </c>
    </row>
    <row r="4" spans="1:7" x14ac:dyDescent="0.2">
      <c r="A4" t="s">
        <v>10</v>
      </c>
      <c r="B4" s="17">
        <f>Assumptions!B13</f>
        <v>60000</v>
      </c>
      <c r="C4" s="17">
        <f>B4*(1+Assumptions!B18)</f>
        <v>61499.999999999993</v>
      </c>
      <c r="D4" s="17">
        <f>C4*(1+Assumptions!B18)</f>
        <v>63037.499999999985</v>
      </c>
      <c r="E4" s="17">
        <f>D4*(1+Assumptions!B18)</f>
        <v>64613.437499999978</v>
      </c>
      <c r="F4" s="17">
        <f>E4*(1+Assumptions!B18)</f>
        <v>66228.773437499971</v>
      </c>
    </row>
    <row r="5" spans="1:7" x14ac:dyDescent="0.2">
      <c r="A5" t="s">
        <v>33</v>
      </c>
      <c r="B5" s="17">
        <f>Assumptions!B14</f>
        <v>120000</v>
      </c>
      <c r="C5" s="17">
        <f>B5*(1+Assumptions!B18)</f>
        <v>122999.99999999999</v>
      </c>
      <c r="D5" s="17">
        <f>C5*(1+Assumptions!B18)</f>
        <v>126074.99999999997</v>
      </c>
      <c r="E5" s="17">
        <f>D5*(1+Assumptions!B18)</f>
        <v>129226.87499999996</v>
      </c>
      <c r="F5" s="17">
        <f>E5*(1+Assumptions!B18)</f>
        <v>132457.54687499994</v>
      </c>
    </row>
    <row r="6" spans="1:7" x14ac:dyDescent="0.2">
      <c r="A6" t="s">
        <v>12</v>
      </c>
      <c r="B6" s="17">
        <f>Revenue!B7*Assumptions!B15</f>
        <v>70680</v>
      </c>
      <c r="C6" s="17">
        <f>Revenue!C7*Assumptions!B15</f>
        <v>72777.600000000006</v>
      </c>
      <c r="D6" s="17">
        <f>Revenue!D7*Assumptions!B15</f>
        <v>74937.672000000006</v>
      </c>
      <c r="E6" s="17">
        <f>Revenue!E7*Assumptions!B15</f>
        <v>77162.081040000005</v>
      </c>
      <c r="F6" s="17">
        <f>Revenue!F7*Assumptions!B15</f>
        <v>79452.747928800003</v>
      </c>
    </row>
    <row r="7" spans="1:7" x14ac:dyDescent="0.2">
      <c r="A7" t="s">
        <v>13</v>
      </c>
      <c r="B7" s="17">
        <f>Assumptions!B16</f>
        <v>90000</v>
      </c>
      <c r="C7" s="17">
        <f>B7*(1+Assumptions!B18)</f>
        <v>92249.999999999985</v>
      </c>
      <c r="D7" s="17">
        <f>C7*(1+Assumptions!B18)</f>
        <v>94556.249999999971</v>
      </c>
      <c r="E7" s="17">
        <f>D7*(1+Assumptions!B18)</f>
        <v>96920.156249999956</v>
      </c>
      <c r="F7" s="17">
        <f>E7*(1+Assumptions!B18)</f>
        <v>99343.160156249942</v>
      </c>
    </row>
    <row r="8" spans="1:7" x14ac:dyDescent="0.2">
      <c r="A8" t="s">
        <v>34</v>
      </c>
      <c r="B8" s="17">
        <f>Assumptions!B19</f>
        <v>20000</v>
      </c>
      <c r="C8" s="17">
        <f>B8*(1+Assumptions!B18)</f>
        <v>20500</v>
      </c>
      <c r="D8" s="17">
        <f>C8*(1+Assumptions!B18)</f>
        <v>21012.499999999996</v>
      </c>
      <c r="E8" s="17">
        <f>D8*(1+Assumptions!B18)</f>
        <v>21537.812499999993</v>
      </c>
      <c r="F8" s="17">
        <f>E8*(1+Assumptions!B18)</f>
        <v>22076.257812499989</v>
      </c>
    </row>
    <row r="9" spans="1:7" ht="17" thickBot="1" x14ac:dyDescent="0.25">
      <c r="A9" s="14" t="s">
        <v>14</v>
      </c>
      <c r="B9" s="18">
        <f>Assumptions!B17</f>
        <v>50000</v>
      </c>
      <c r="C9" s="18">
        <f>B9*(1+Assumptions!B18)</f>
        <v>51249.999999999993</v>
      </c>
      <c r="D9" s="18">
        <f>C9*(1+Assumptions!B18)</f>
        <v>52531.249999999985</v>
      </c>
      <c r="E9" s="18">
        <f>D9*(1+Assumptions!B18)</f>
        <v>53844.531249999978</v>
      </c>
      <c r="F9" s="18">
        <f>E9*(1+Assumptions!B18)</f>
        <v>55190.644531249971</v>
      </c>
    </row>
    <row r="10" spans="1:7" x14ac:dyDescent="0.2">
      <c r="A10" s="11" t="s">
        <v>35</v>
      </c>
      <c r="B10" s="17">
        <f>SUM(B3:B9)</f>
        <v>590680</v>
      </c>
      <c r="C10" s="17">
        <f t="shared" ref="C10:F10" si="0">SUM(C3:C9)</f>
        <v>605777.6</v>
      </c>
      <c r="D10" s="17">
        <f t="shared" si="0"/>
        <v>621262.6719999999</v>
      </c>
      <c r="E10" s="17">
        <f t="shared" si="0"/>
        <v>637145.20603999984</v>
      </c>
      <c r="F10" s="17">
        <f t="shared" si="0"/>
        <v>653435.45105379983</v>
      </c>
      <c r="G10" s="3"/>
    </row>
  </sheetData>
  <phoneticPr fontId="4" type="noConversion"/>
  <pageMargins left="0.7" right="0.7" top="0.75" bottom="0.75" header="0.3" footer="0.3"/>
  <ignoredErrors>
    <ignoredError sqref="C6:F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B11F-8573-5F40-8BB3-64BC02B8EAA3}">
  <dimension ref="A1:F4"/>
  <sheetViews>
    <sheetView topLeftCell="C1" zoomScale="200" zoomScaleNormal="200" workbookViewId="0">
      <selection activeCell="B2" sqref="B2"/>
    </sheetView>
  </sheetViews>
  <sheetFormatPr baseColWidth="10" defaultRowHeight="16" x14ac:dyDescent="0.2"/>
  <cols>
    <col min="1" max="1" width="24" bestFit="1" customWidth="1"/>
    <col min="2" max="6" width="14" bestFit="1" customWidth="1"/>
  </cols>
  <sheetData>
    <row r="1" spans="1:6" x14ac:dyDescent="0.2">
      <c r="B1" s="22" t="s">
        <v>22</v>
      </c>
      <c r="C1" s="22" t="s">
        <v>23</v>
      </c>
      <c r="D1" s="22" t="s">
        <v>24</v>
      </c>
      <c r="E1" s="22" t="s">
        <v>25</v>
      </c>
      <c r="F1" s="22" t="s">
        <v>26</v>
      </c>
    </row>
    <row r="2" spans="1:6" x14ac:dyDescent="0.2">
      <c r="A2" t="s">
        <v>21</v>
      </c>
      <c r="B2" s="3">
        <f>Revenue!B7</f>
        <v>1767000</v>
      </c>
      <c r="C2" s="3">
        <f>Revenue!C7</f>
        <v>1819440</v>
      </c>
      <c r="D2" s="3">
        <f>Revenue!D7</f>
        <v>1873441.8</v>
      </c>
      <c r="E2" s="3">
        <f>Revenue!E7</f>
        <v>1929052.0260000001</v>
      </c>
      <c r="F2" s="3">
        <f>Revenue!F7</f>
        <v>1986318.6982200001</v>
      </c>
    </row>
    <row r="3" spans="1:6" ht="17" thickBot="1" x14ac:dyDescent="0.25">
      <c r="A3" s="20" t="s">
        <v>8</v>
      </c>
      <c r="B3" s="21">
        <f>Expenses!B10</f>
        <v>590680</v>
      </c>
      <c r="C3" s="21">
        <f>Expenses!C10</f>
        <v>605777.6</v>
      </c>
      <c r="D3" s="21">
        <f>Expenses!D10</f>
        <v>621262.6719999999</v>
      </c>
      <c r="E3" s="21">
        <f>Expenses!E10</f>
        <v>637145.20603999984</v>
      </c>
      <c r="F3" s="21">
        <f>Expenses!F10</f>
        <v>653435.45105379983</v>
      </c>
    </row>
    <row r="4" spans="1:6" x14ac:dyDescent="0.2">
      <c r="A4" s="11" t="s">
        <v>37</v>
      </c>
      <c r="B4" s="19">
        <f>B2-B3</f>
        <v>1176320</v>
      </c>
      <c r="C4" s="19">
        <f t="shared" ref="C4:F4" si="0">C2-C3</f>
        <v>1213662.3999999999</v>
      </c>
      <c r="D4" s="19">
        <f t="shared" si="0"/>
        <v>1252179.128</v>
      </c>
      <c r="E4" s="19">
        <f t="shared" si="0"/>
        <v>1291906.8199600002</v>
      </c>
      <c r="F4" s="19">
        <f t="shared" si="0"/>
        <v>1332883.2471662003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D1A8-2CB5-E94E-B1EB-E6F1415C5273}">
  <dimension ref="A2:F17"/>
  <sheetViews>
    <sheetView zoomScale="190" zoomScaleNormal="190" workbookViewId="0">
      <selection activeCell="B7" sqref="B7"/>
    </sheetView>
  </sheetViews>
  <sheetFormatPr baseColWidth="10" defaultRowHeight="16" x14ac:dyDescent="0.2"/>
  <cols>
    <col min="1" max="1" width="15.5" bestFit="1" customWidth="1"/>
    <col min="2" max="2" width="15" bestFit="1" customWidth="1"/>
    <col min="3" max="6" width="14.1640625" bestFit="1" customWidth="1"/>
  </cols>
  <sheetData>
    <row r="2" spans="1:6" x14ac:dyDescent="0.2">
      <c r="A2" s="10" t="s">
        <v>1</v>
      </c>
      <c r="B2" s="17">
        <f>Assumptions!B3</f>
        <v>12000000</v>
      </c>
    </row>
    <row r="3" spans="1:6" x14ac:dyDescent="0.2">
      <c r="A3" s="10" t="s">
        <v>16</v>
      </c>
      <c r="B3" s="25">
        <f>Assumptions!B22</f>
        <v>0.7</v>
      </c>
    </row>
    <row r="4" spans="1:6" x14ac:dyDescent="0.2">
      <c r="A4" s="10" t="s">
        <v>38</v>
      </c>
      <c r="B4" s="17">
        <f>B2*B3</f>
        <v>8400000</v>
      </c>
    </row>
    <row r="5" spans="1:6" x14ac:dyDescent="0.2">
      <c r="A5" s="10" t="s">
        <v>39</v>
      </c>
      <c r="B5" s="17">
        <f>B2-B4</f>
        <v>3600000</v>
      </c>
    </row>
    <row r="6" spans="1:6" x14ac:dyDescent="0.2">
      <c r="A6" s="10" t="s">
        <v>17</v>
      </c>
      <c r="B6" s="26">
        <f>Assumptions!B23</f>
        <v>6.25E-2</v>
      </c>
    </row>
    <row r="7" spans="1:6" x14ac:dyDescent="0.2">
      <c r="A7" s="10" t="s">
        <v>18</v>
      </c>
      <c r="B7" s="5">
        <f>Assumptions!B24</f>
        <v>30</v>
      </c>
    </row>
    <row r="8" spans="1:6" x14ac:dyDescent="0.2">
      <c r="A8" s="10" t="s">
        <v>40</v>
      </c>
      <c r="B8" s="24">
        <f>-PMT(B6,B7,B4)</f>
        <v>626663.83001773537</v>
      </c>
    </row>
    <row r="10" spans="1:6" x14ac:dyDescent="0.2">
      <c r="B10" s="8" t="s">
        <v>22</v>
      </c>
      <c r="C10" s="8" t="s">
        <v>23</v>
      </c>
      <c r="D10" s="8" t="s">
        <v>24</v>
      </c>
      <c r="E10" s="8" t="s">
        <v>25</v>
      </c>
      <c r="F10" s="8" t="s">
        <v>26</v>
      </c>
    </row>
    <row r="11" spans="1:6" x14ac:dyDescent="0.2">
      <c r="A11" s="10" t="s">
        <v>41</v>
      </c>
      <c r="B11" s="17">
        <f>B4</f>
        <v>8400000</v>
      </c>
      <c r="C11" s="17">
        <f>B15</f>
        <v>8298336.1699822647</v>
      </c>
      <c r="D11" s="17">
        <f>C15</f>
        <v>8190318.3505884213</v>
      </c>
      <c r="E11" s="17">
        <f>D15</f>
        <v>8075549.4174824627</v>
      </c>
      <c r="F11" s="17">
        <f>E15</f>
        <v>7953607.4260573816</v>
      </c>
    </row>
    <row r="12" spans="1:6" x14ac:dyDescent="0.2">
      <c r="A12" s="10" t="s">
        <v>42</v>
      </c>
      <c r="B12" s="24">
        <f>B8</f>
        <v>626663.83001773537</v>
      </c>
      <c r="C12" s="24">
        <f>B8</f>
        <v>626663.83001773537</v>
      </c>
      <c r="D12" s="24">
        <f>B8</f>
        <v>626663.83001773537</v>
      </c>
      <c r="E12" s="24">
        <f>B8</f>
        <v>626663.83001773537</v>
      </c>
      <c r="F12" s="24">
        <f>B8</f>
        <v>626663.83001773537</v>
      </c>
    </row>
    <row r="13" spans="1:6" x14ac:dyDescent="0.2">
      <c r="A13" s="10" t="s">
        <v>43</v>
      </c>
      <c r="B13" s="4">
        <f>B11*B6</f>
        <v>525000</v>
      </c>
      <c r="C13" s="4">
        <f>B6*C11</f>
        <v>518646.01062389155</v>
      </c>
      <c r="D13" s="4">
        <f>B6*D11</f>
        <v>511894.89691177633</v>
      </c>
      <c r="E13" s="4">
        <f>B6*E11</f>
        <v>504721.83859265392</v>
      </c>
      <c r="F13" s="4">
        <f>B6*F11</f>
        <v>497100.46412858635</v>
      </c>
    </row>
    <row r="14" spans="1:6" x14ac:dyDescent="0.2">
      <c r="A14" s="10" t="s">
        <v>44</v>
      </c>
      <c r="B14" s="24">
        <f>B12-B13</f>
        <v>101663.83001773537</v>
      </c>
      <c r="C14" s="24">
        <f t="shared" ref="C14:F14" si="0">C12-C13</f>
        <v>108017.81939384382</v>
      </c>
      <c r="D14" s="24">
        <f t="shared" si="0"/>
        <v>114768.93310595903</v>
      </c>
      <c r="E14" s="24">
        <f t="shared" si="0"/>
        <v>121941.99142508145</v>
      </c>
      <c r="F14" s="24">
        <f t="shared" si="0"/>
        <v>129563.36588914902</v>
      </c>
    </row>
    <row r="15" spans="1:6" x14ac:dyDescent="0.2">
      <c r="A15" s="10" t="s">
        <v>45</v>
      </c>
      <c r="B15" s="17">
        <f>B11-B14</f>
        <v>8298336.1699822647</v>
      </c>
      <c r="C15" s="17">
        <f t="shared" ref="C15:F15" si="1">C11-C14</f>
        <v>8190318.3505884213</v>
      </c>
      <c r="D15" s="17">
        <f t="shared" si="1"/>
        <v>8075549.4174824627</v>
      </c>
      <c r="E15" s="17">
        <f t="shared" si="1"/>
        <v>7953607.4260573816</v>
      </c>
      <c r="F15" s="17">
        <f t="shared" si="1"/>
        <v>7824044.0601682328</v>
      </c>
    </row>
    <row r="17" spans="2:2" x14ac:dyDescent="0.2">
      <c r="B17" s="3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6D55-3055-0A4C-9F6C-0038D7D40D19}">
  <dimension ref="A1:G9"/>
  <sheetViews>
    <sheetView zoomScale="150" zoomScaleNormal="150" workbookViewId="0">
      <selection activeCell="A6" sqref="A6"/>
    </sheetView>
  </sheetViews>
  <sheetFormatPr baseColWidth="10" defaultRowHeight="16" x14ac:dyDescent="0.2"/>
  <cols>
    <col min="1" max="1" width="26.33203125" bestFit="1" customWidth="1"/>
    <col min="2" max="2" width="26.33203125" customWidth="1"/>
    <col min="3" max="6" width="14" bestFit="1" customWidth="1"/>
    <col min="7" max="7" width="15.33203125" bestFit="1" customWidth="1"/>
  </cols>
  <sheetData>
    <row r="1" spans="1:7" x14ac:dyDescent="0.2">
      <c r="B1" s="27" t="s">
        <v>60</v>
      </c>
      <c r="C1" s="27" t="s">
        <v>22</v>
      </c>
      <c r="D1" s="27" t="s">
        <v>23</v>
      </c>
      <c r="E1" s="27" t="s">
        <v>24</v>
      </c>
      <c r="F1" s="27" t="s">
        <v>25</v>
      </c>
      <c r="G1" s="27" t="s">
        <v>26</v>
      </c>
    </row>
    <row r="2" spans="1:7" x14ac:dyDescent="0.2">
      <c r="A2" t="s">
        <v>46</v>
      </c>
      <c r="B2" s="9"/>
      <c r="C2" s="3">
        <f>NOI!B4</f>
        <v>1176320</v>
      </c>
      <c r="D2" s="3">
        <f>NOI!C4</f>
        <v>1213662.3999999999</v>
      </c>
      <c r="E2" s="3">
        <f>NOI!D4</f>
        <v>1252179.128</v>
      </c>
      <c r="F2" s="3">
        <f>NOI!E4</f>
        <v>1291906.8199600002</v>
      </c>
      <c r="G2" s="3">
        <f>NOI!F4</f>
        <v>1332883.2471662003</v>
      </c>
    </row>
    <row r="3" spans="1:7" ht="17" thickBot="1" x14ac:dyDescent="0.25">
      <c r="A3" s="14" t="s">
        <v>47</v>
      </c>
      <c r="B3" s="29"/>
      <c r="C3" s="28">
        <f>-'Debt Schedule'!B8</f>
        <v>-626663.83001773537</v>
      </c>
      <c r="D3" s="28">
        <f>-'Debt Schedule'!B8</f>
        <v>-626663.83001773537</v>
      </c>
      <c r="E3" s="28">
        <f>-'Debt Schedule'!B8</f>
        <v>-626663.83001773537</v>
      </c>
      <c r="F3" s="28">
        <f>-'Debt Schedule'!B8</f>
        <v>-626663.83001773537</v>
      </c>
      <c r="G3" s="28">
        <f>-'Debt Schedule'!B8</f>
        <v>-626663.83001773537</v>
      </c>
    </row>
    <row r="4" spans="1:7" x14ac:dyDescent="0.2">
      <c r="A4" s="11" t="s">
        <v>48</v>
      </c>
      <c r="B4" s="31">
        <f>-'Debt Schedule'!B5</f>
        <v>-3600000</v>
      </c>
      <c r="C4" s="19">
        <f>C2+C3</f>
        <v>549656.16998226463</v>
      </c>
      <c r="D4" s="19">
        <f t="shared" ref="D4:G4" si="0">D2+D3</f>
        <v>586998.56998226454</v>
      </c>
      <c r="E4" s="19">
        <f t="shared" si="0"/>
        <v>625515.29798226466</v>
      </c>
      <c r="F4" s="19">
        <f t="shared" si="0"/>
        <v>665242.98994226486</v>
      </c>
      <c r="G4" s="19">
        <f t="shared" si="0"/>
        <v>706219.41714846494</v>
      </c>
    </row>
    <row r="5" spans="1:7" ht="17" thickBot="1" x14ac:dyDescent="0.25">
      <c r="A5" s="14" t="s">
        <v>90</v>
      </c>
      <c r="B5" s="29"/>
      <c r="C5" s="29"/>
      <c r="D5" s="29"/>
      <c r="E5" s="29"/>
      <c r="F5" s="29"/>
      <c r="G5" s="15">
        <f>(G2/Assumptions!B26)-'Debt Schedule'!F15</f>
        <v>12681852.050081003</v>
      </c>
    </row>
    <row r="6" spans="1:7" x14ac:dyDescent="0.2">
      <c r="A6" s="11" t="s">
        <v>61</v>
      </c>
      <c r="B6" s="31">
        <f>B4+B5</f>
        <v>-3600000</v>
      </c>
      <c r="C6" s="19">
        <f>C4+C5</f>
        <v>549656.16998226463</v>
      </c>
      <c r="D6" s="19">
        <f t="shared" ref="D6:G6" si="1">D4+D5</f>
        <v>586998.56998226454</v>
      </c>
      <c r="E6" s="19">
        <f t="shared" si="1"/>
        <v>625515.29798226466</v>
      </c>
      <c r="F6" s="19">
        <f t="shared" si="1"/>
        <v>665242.98994226486</v>
      </c>
      <c r="G6" s="19">
        <f t="shared" si="1"/>
        <v>13388071.467229469</v>
      </c>
    </row>
    <row r="9" spans="1:7" x14ac:dyDescent="0.2">
      <c r="G9" s="3"/>
    </row>
  </sheetData>
  <phoneticPr fontId="4" type="noConversion"/>
  <conditionalFormatting sqref="B2:G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0A68-7096-4949-9D7C-8096C07FB73B}">
  <dimension ref="A2:B11"/>
  <sheetViews>
    <sheetView zoomScale="160" zoomScaleNormal="160" workbookViewId="0">
      <selection activeCell="A12" sqref="A12"/>
    </sheetView>
  </sheetViews>
  <sheetFormatPr baseColWidth="10" defaultRowHeight="16" x14ac:dyDescent="0.2"/>
  <cols>
    <col min="1" max="1" width="24.6640625" bestFit="1" customWidth="1"/>
    <col min="2" max="2" width="14.1640625" bestFit="1" customWidth="1"/>
  </cols>
  <sheetData>
    <row r="2" spans="1:2" x14ac:dyDescent="0.2">
      <c r="A2" s="5" t="s">
        <v>52</v>
      </c>
    </row>
    <row r="3" spans="1:2" x14ac:dyDescent="0.2">
      <c r="A3" s="16" t="s">
        <v>53</v>
      </c>
      <c r="B3" s="30">
        <f>'Debt Schedule'!B5</f>
        <v>3600000</v>
      </c>
    </row>
    <row r="4" spans="1:2" x14ac:dyDescent="0.2">
      <c r="A4" s="16" t="s">
        <v>54</v>
      </c>
      <c r="B4" s="32">
        <f>'Cash Flow'!C4/Returns!B3</f>
        <v>0.15268226943951796</v>
      </c>
    </row>
    <row r="5" spans="1:2" x14ac:dyDescent="0.2">
      <c r="A5" s="16" t="s">
        <v>55</v>
      </c>
      <c r="B5" s="32">
        <f>'Cash Flow'!D4/Returns!B3</f>
        <v>0.16305515832840681</v>
      </c>
    </row>
    <row r="6" spans="1:2" x14ac:dyDescent="0.2">
      <c r="A6" s="16" t="s">
        <v>56</v>
      </c>
      <c r="B6" s="32">
        <f>'Cash Flow'!E4/Returns!B3</f>
        <v>0.17375424943951795</v>
      </c>
    </row>
    <row r="7" spans="1:2" x14ac:dyDescent="0.2">
      <c r="A7" s="16" t="s">
        <v>57</v>
      </c>
      <c r="B7" s="32">
        <f>'Cash Flow'!F4/Returns!B3</f>
        <v>0.18478971942840691</v>
      </c>
    </row>
    <row r="8" spans="1:2" x14ac:dyDescent="0.2">
      <c r="A8" s="16" t="s">
        <v>58</v>
      </c>
      <c r="B8" s="32">
        <f>'Cash Flow'!G4/Returns!B3</f>
        <v>0.19617206031901804</v>
      </c>
    </row>
    <row r="9" spans="1:2" x14ac:dyDescent="0.2">
      <c r="A9" s="16" t="s">
        <v>62</v>
      </c>
      <c r="B9" s="34">
        <f>(SUM('Cash Flow'!C6:G6))/Returns!B3</f>
        <v>4.3931901375329243</v>
      </c>
    </row>
    <row r="10" spans="1:2" x14ac:dyDescent="0.2">
      <c r="A10" s="16" t="s">
        <v>50</v>
      </c>
      <c r="B10" s="33">
        <f>IRR('Cash Flow'!B6:G6)</f>
        <v>0.39835450652931526</v>
      </c>
    </row>
    <row r="11" spans="1:2" x14ac:dyDescent="0.2">
      <c r="A11" s="16" t="s">
        <v>51</v>
      </c>
      <c r="B11" s="30">
        <f>NPV(Assumptions!B27,'Cash Flow'!C6:G6)+'Cash Flow'!B6</f>
        <v>7509421.7086833511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50A1-F1F4-6D4B-B0E7-444CB6FC4692}">
  <dimension ref="A1:F18"/>
  <sheetViews>
    <sheetView zoomScale="120" zoomScaleNormal="120" workbookViewId="0">
      <selection activeCell="B21" sqref="B21"/>
    </sheetView>
  </sheetViews>
  <sheetFormatPr baseColWidth="10" defaultRowHeight="16" x14ac:dyDescent="0.2"/>
  <cols>
    <col min="1" max="1" width="25.6640625" bestFit="1" customWidth="1"/>
    <col min="2" max="6" width="12.5" bestFit="1" customWidth="1"/>
  </cols>
  <sheetData>
    <row r="1" spans="1:6" ht="17" thickBot="1" x14ac:dyDescent="0.25"/>
    <row r="2" spans="1:6" ht="17" thickBot="1" x14ac:dyDescent="0.25">
      <c r="A2" s="42" t="s">
        <v>63</v>
      </c>
      <c r="B2" s="36">
        <v>10000000</v>
      </c>
      <c r="C2" s="37">
        <v>11000000</v>
      </c>
      <c r="D2" s="37">
        <v>12000000</v>
      </c>
      <c r="E2" s="37">
        <v>13000000</v>
      </c>
      <c r="F2" s="38">
        <v>14000000</v>
      </c>
    </row>
    <row r="3" spans="1:6" x14ac:dyDescent="0.2">
      <c r="A3" s="39">
        <v>5.5E-2</v>
      </c>
      <c r="B3" s="33">
        <f>Assumptions!B30</f>
        <v>0.5639880473778609</v>
      </c>
      <c r="C3" s="33">
        <f>Assumptions!C30</f>
        <v>0.50819452213457028</v>
      </c>
      <c r="D3" s="33">
        <f>Assumptions!D30</f>
        <v>0.45800773660873917</v>
      </c>
      <c r="E3" s="33">
        <f>Assumptions!E30</f>
        <v>0.41220986621181632</v>
      </c>
      <c r="F3" s="33">
        <f>Assumptions!F30</f>
        <v>0.3698998985840829</v>
      </c>
    </row>
    <row r="4" spans="1:6" x14ac:dyDescent="0.2">
      <c r="A4" s="40">
        <v>0.06</v>
      </c>
      <c r="B4" s="33">
        <f>Assumptions!B31</f>
        <v>0.53458995009881893</v>
      </c>
      <c r="C4" s="33">
        <f>Assumptions!C31</f>
        <v>0.47805008443002328</v>
      </c>
      <c r="D4" s="33">
        <f>Assumptions!D31</f>
        <v>0.42704506966336786</v>
      </c>
      <c r="E4" s="33">
        <f>Assumptions!E31</f>
        <v>0.38034514853694268</v>
      </c>
      <c r="F4" s="33">
        <f>Assumptions!F31</f>
        <v>0.33703681326979873</v>
      </c>
    </row>
    <row r="5" spans="1:6" x14ac:dyDescent="0.2">
      <c r="A5" s="40">
        <v>6.5000000000000002E-2</v>
      </c>
      <c r="B5" s="33">
        <f>Assumptions!B32</f>
        <v>0.50760028833393522</v>
      </c>
      <c r="C5" s="33">
        <f>Assumptions!C32</f>
        <v>0.45025110133123714</v>
      </c>
      <c r="D5" s="43">
        <f>Assumptions!D32</f>
        <v>0.39835450652931526</v>
      </c>
      <c r="E5" s="33">
        <f>Assumptions!E32</f>
        <v>0.35066552712569821</v>
      </c>
      <c r="F5" s="33">
        <f>Assumptions!F32</f>
        <v>0.30625396012243655</v>
      </c>
    </row>
    <row r="6" spans="1:6" x14ac:dyDescent="0.2">
      <c r="A6" s="40">
        <v>7.0000000000000007E-2</v>
      </c>
      <c r="B6" s="33">
        <f>Assumptions!B33</f>
        <v>0.48261726347954026</v>
      </c>
      <c r="C6" s="33">
        <f>Assumptions!C33</f>
        <v>0.42439832829445701</v>
      </c>
      <c r="D6" s="33">
        <f>Assumptions!D33</f>
        <v>0.37153716708162099</v>
      </c>
      <c r="E6" s="33">
        <f>Assumptions!E33</f>
        <v>0.32276948865478783</v>
      </c>
      <c r="F6" s="33">
        <f>Assumptions!F33</f>
        <v>0.2771429602388622</v>
      </c>
    </row>
    <row r="7" spans="1:6" ht="17" thickBot="1" x14ac:dyDescent="0.25">
      <c r="A7" s="41">
        <v>7.4999999999999997E-2</v>
      </c>
      <c r="B7" s="33">
        <f>Assumptions!B34</f>
        <v>0.45932650891398819</v>
      </c>
      <c r="C7" s="33">
        <f>Assumptions!C34</f>
        <v>0.40017845860094292</v>
      </c>
      <c r="D7" s="33">
        <f>Assumptions!D34</f>
        <v>0.34627844536467567</v>
      </c>
      <c r="E7" s="33">
        <f>Assumptions!E34</f>
        <v>0.296337704582327</v>
      </c>
      <c r="F7" s="33">
        <f>Assumptions!F34</f>
        <v>0.24937466828003441</v>
      </c>
    </row>
    <row r="9" spans="1:6" x14ac:dyDescent="0.2">
      <c r="A9" s="71" t="s">
        <v>64</v>
      </c>
    </row>
    <row r="10" spans="1:6" x14ac:dyDescent="0.2">
      <c r="A10" s="70" t="s">
        <v>86</v>
      </c>
    </row>
    <row r="11" spans="1:6" x14ac:dyDescent="0.2">
      <c r="A11" s="70" t="s">
        <v>87</v>
      </c>
    </row>
    <row r="12" spans="1:6" x14ac:dyDescent="0.2">
      <c r="A12" s="70" t="s">
        <v>88</v>
      </c>
    </row>
    <row r="13" spans="1:6" x14ac:dyDescent="0.2">
      <c r="A13" s="70" t="s">
        <v>89</v>
      </c>
      <c r="B13" s="23"/>
    </row>
    <row r="14" spans="1:6" x14ac:dyDescent="0.2">
      <c r="B14" s="23"/>
    </row>
    <row r="15" spans="1:6" x14ac:dyDescent="0.2">
      <c r="B15" s="23"/>
    </row>
    <row r="16" spans="1:6" x14ac:dyDescent="0.2">
      <c r="B16" s="23"/>
    </row>
    <row r="17" spans="2:2" x14ac:dyDescent="0.2">
      <c r="B17" s="23"/>
    </row>
    <row r="18" spans="2:2" x14ac:dyDescent="0.2">
      <c r="B18" s="23"/>
    </row>
  </sheetData>
  <conditionalFormatting sqref="B3:F7">
    <cfRule type="cellIs" dxfId="1" priority="1" operator="lessThan">
      <formula>$D$5</formula>
    </cfRule>
    <cfRule type="cellIs" dxfId="0" priority="2" operator="greaterThan">
      <formula>$D$5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2F7A-B98C-3443-8089-9A14254EFB27}">
  <dimension ref="B1:G16"/>
  <sheetViews>
    <sheetView tabSelected="1" workbookViewId="0">
      <selection activeCell="E4" sqref="E4:G4"/>
    </sheetView>
  </sheetViews>
  <sheetFormatPr baseColWidth="10" defaultRowHeight="16" x14ac:dyDescent="0.2"/>
  <cols>
    <col min="2" max="2" width="19.83203125" bestFit="1" customWidth="1"/>
    <col min="3" max="3" width="17.6640625" bestFit="1" customWidth="1"/>
    <col min="4" max="4" width="14.5" bestFit="1" customWidth="1"/>
  </cols>
  <sheetData>
    <row r="1" spans="2:7" ht="23" thickBot="1" x14ac:dyDescent="0.35">
      <c r="B1" s="84" t="s">
        <v>112</v>
      </c>
      <c r="C1" s="84"/>
      <c r="D1" s="84"/>
      <c r="E1" s="84"/>
      <c r="F1" s="84"/>
      <c r="G1" s="84"/>
    </row>
    <row r="2" spans="2:7" ht="17" thickBot="1" x14ac:dyDescent="0.25">
      <c r="B2" s="74" t="s">
        <v>91</v>
      </c>
      <c r="C2" s="74" t="s">
        <v>92</v>
      </c>
      <c r="D2" s="74" t="s">
        <v>93</v>
      </c>
      <c r="E2" s="78" t="s">
        <v>107</v>
      </c>
      <c r="F2" s="79"/>
      <c r="G2" s="80"/>
    </row>
    <row r="3" spans="2:7" ht="103" thickBot="1" x14ac:dyDescent="0.25">
      <c r="B3" s="76" t="s">
        <v>94</v>
      </c>
      <c r="C3" s="75" t="s">
        <v>98</v>
      </c>
      <c r="D3" s="77" t="s">
        <v>102</v>
      </c>
      <c r="E3" s="85" t="s">
        <v>106</v>
      </c>
      <c r="F3" s="86"/>
      <c r="G3" s="87"/>
    </row>
    <row r="4" spans="2:7" ht="52" thickBot="1" x14ac:dyDescent="0.25">
      <c r="B4" s="75" t="s">
        <v>95</v>
      </c>
      <c r="C4" s="75" t="s">
        <v>99</v>
      </c>
      <c r="D4" s="77" t="s">
        <v>103</v>
      </c>
      <c r="E4" s="85" t="s">
        <v>108</v>
      </c>
      <c r="F4" s="86"/>
      <c r="G4" s="87"/>
    </row>
    <row r="5" spans="2:7" ht="103" thickBot="1" x14ac:dyDescent="0.25">
      <c r="B5" s="75" t="s">
        <v>96</v>
      </c>
      <c r="C5" s="75" t="s">
        <v>100</v>
      </c>
      <c r="D5" s="77" t="s">
        <v>104</v>
      </c>
      <c r="E5" s="81" t="s">
        <v>109</v>
      </c>
      <c r="F5" s="82"/>
      <c r="G5" s="83"/>
    </row>
    <row r="6" spans="2:7" ht="52" thickBot="1" x14ac:dyDescent="0.25">
      <c r="B6" s="75" t="s">
        <v>97</v>
      </c>
      <c r="C6" s="75" t="s">
        <v>101</v>
      </c>
      <c r="D6" s="77" t="s">
        <v>105</v>
      </c>
      <c r="E6" s="81" t="s">
        <v>110</v>
      </c>
      <c r="F6" s="82"/>
      <c r="G6" s="83"/>
    </row>
    <row r="8" spans="2:7" ht="16" customHeight="1" x14ac:dyDescent="0.2">
      <c r="B8" s="73" t="s">
        <v>111</v>
      </c>
      <c r="C8" s="73"/>
      <c r="D8" s="73"/>
      <c r="E8" s="73"/>
    </row>
    <row r="9" spans="2:7" x14ac:dyDescent="0.2">
      <c r="B9" s="73"/>
      <c r="C9" s="73"/>
      <c r="D9" s="73"/>
      <c r="E9" s="73"/>
    </row>
    <row r="10" spans="2:7" x14ac:dyDescent="0.2">
      <c r="B10" s="73"/>
      <c r="C10" s="73"/>
      <c r="D10" s="73"/>
      <c r="E10" s="73"/>
    </row>
    <row r="11" spans="2:7" x14ac:dyDescent="0.2">
      <c r="B11" s="73"/>
      <c r="C11" s="73"/>
      <c r="D11" s="73"/>
      <c r="E11" s="73"/>
    </row>
    <row r="12" spans="2:7" x14ac:dyDescent="0.2">
      <c r="B12" s="73"/>
      <c r="C12" s="73"/>
      <c r="D12" s="73"/>
      <c r="E12" s="73"/>
    </row>
    <row r="13" spans="2:7" x14ac:dyDescent="0.2">
      <c r="B13" s="73"/>
      <c r="C13" s="73"/>
      <c r="D13" s="73"/>
      <c r="E13" s="73"/>
    </row>
    <row r="14" spans="2:7" x14ac:dyDescent="0.2">
      <c r="B14" s="73"/>
      <c r="C14" s="73"/>
      <c r="D14" s="73"/>
      <c r="E14" s="73"/>
    </row>
    <row r="15" spans="2:7" x14ac:dyDescent="0.2">
      <c r="B15" s="72"/>
      <c r="C15" s="72"/>
      <c r="D15" s="72"/>
      <c r="E15" s="72"/>
    </row>
    <row r="16" spans="2:7" x14ac:dyDescent="0.2">
      <c r="B16" s="72"/>
      <c r="C16" s="72"/>
      <c r="D16" s="72"/>
      <c r="E16" s="72"/>
    </row>
  </sheetData>
  <mergeCells count="7">
    <mergeCell ref="B8:E14"/>
    <mergeCell ref="E2:G2"/>
    <mergeCell ref="E6:G6"/>
    <mergeCell ref="B1:G1"/>
    <mergeCell ref="E3:G3"/>
    <mergeCell ref="E4:G4"/>
    <mergeCell ref="E5:G5"/>
  </mergeCells>
  <hyperlinks>
    <hyperlink ref="E3:G3" r:id="rId1" display="OCC Commerical Real Estate Lending" xr:uid="{B6A6F017-91FE-8845-AB25-55EB6AE5E08D}"/>
    <hyperlink ref="E4:G4" r:id="rId2" display="FDIC Commerical Real Estate Lending" xr:uid="{0B48535A-2325-D74B-BB51-51365181B3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Assumptions</vt:lpstr>
      <vt:lpstr>Revenue</vt:lpstr>
      <vt:lpstr>Expenses</vt:lpstr>
      <vt:lpstr>NOI</vt:lpstr>
      <vt:lpstr>Debt Schedule</vt:lpstr>
      <vt:lpstr>Cash Flow</vt:lpstr>
      <vt:lpstr>Returns</vt:lpstr>
      <vt:lpstr>Sensitivity Analysis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Brighton Allen</dc:creator>
  <cp:lastModifiedBy>Brighton Allen</cp:lastModifiedBy>
  <dcterms:created xsi:type="dcterms:W3CDTF">2026-07-30T15:30:26Z</dcterms:created>
  <dcterms:modified xsi:type="dcterms:W3CDTF">2026-09-01T21:44:52Z</dcterms:modified>
</cp:coreProperties>
</file>